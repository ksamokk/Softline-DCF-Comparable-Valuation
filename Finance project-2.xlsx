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260" windowHeight="13940" firstSheet="1" activeTab="5"/>
  </bookViews>
  <sheets>
    <sheet name="Data" sheetId="9" r:id="rId1"/>
    <sheet name="Historical analysis" sheetId="10" r:id="rId2"/>
    <sheet name="Free Cash Flow to Firm" sheetId="6" r:id="rId3"/>
    <sheet name="WACC" sheetId="5" r:id="rId4"/>
    <sheet name="TV (Terminal Value)" sheetId="7" r:id="rId5"/>
    <sheet name="Discounting" sheetId="8" r:id="rId6"/>
    <sheet name="Multiples Valuation" sheetId="11" r:id="rId7"/>
    <sheet name="Valuation Summary " sheetId="13"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<sst xmlns="http://schemas.openxmlformats.org/spreadsheetml/2006/main" count="489" uniqueCount="337">
  <si>
    <t xml:space="preserve">Resource </t>
  </si>
  <si>
    <t>https://softlinegroup.com/investors/finansovye-otchety-i-prezentacii/</t>
  </si>
  <si>
    <t xml:space="preserve">Revenue </t>
  </si>
  <si>
    <t>mln RUB</t>
  </si>
  <si>
    <t xml:space="preserve">COGS </t>
  </si>
  <si>
    <t xml:space="preserve">Gross profit </t>
  </si>
  <si>
    <t>EBIT / Operating profit</t>
  </si>
  <si>
    <t xml:space="preserve">Net income </t>
  </si>
  <si>
    <t xml:space="preserve">Income tax </t>
  </si>
  <si>
    <t>Financial income</t>
  </si>
  <si>
    <t>Financial expenses</t>
  </si>
  <si>
    <t xml:space="preserve">D&amp;A </t>
  </si>
  <si>
    <t>Cash &amp; equivalents</t>
  </si>
  <si>
    <t>Total debt</t>
  </si>
  <si>
    <t>Accounts receivable</t>
  </si>
  <si>
    <t>Inventory</t>
  </si>
  <si>
    <t>Accounts payable</t>
  </si>
  <si>
    <t xml:space="preserve">PPE </t>
  </si>
  <si>
    <t xml:space="preserve">Equity </t>
  </si>
  <si>
    <t xml:space="preserve">CAPEX </t>
  </si>
  <si>
    <t>Operating cash flow</t>
  </si>
  <si>
    <t>Revenue&amp;Profitability</t>
  </si>
  <si>
    <t xml:space="preserve">Revenue Growth </t>
  </si>
  <si>
    <t>(Revenuet/Revenue(t-1)) -1</t>
  </si>
  <si>
    <r>
      <rPr>
        <sz val="14"/>
        <color rgb="FF000000"/>
        <rFont val="-webkit-standard"/>
        <charset val="204"/>
      </rPr>
      <t>Revenue declined in 2021–2022, but from 2023 the company returned to growth. Gross margin improved strongly from </t>
    </r>
    <r>
      <rPr>
        <b/>
        <sz val="12"/>
        <color rgb="FF000000"/>
        <rFont val="Aptos Narrow"/>
        <charset val="204"/>
      </rPr>
      <t>16.7% to 49.2%</t>
    </r>
    <r>
      <rPr>
        <sz val="14"/>
        <color rgb="FF000000"/>
        <rFont val="-webkit-standard"/>
        <charset val="204"/>
      </rPr>
      <t>, showing better profitability at the gross level. However, net margin fell to </t>
    </r>
    <r>
      <rPr>
        <b/>
        <sz val="12"/>
        <color rgb="FF000000"/>
        <rFont val="Aptos Narrow"/>
        <charset val="204"/>
      </rPr>
      <t>0.3% in 2025</t>
    </r>
    <r>
      <rPr>
        <sz val="14"/>
        <color rgb="FF000000"/>
        <rFont val="-webkit-standard"/>
        <charset val="204"/>
      </rPr>
      <t>, meaning the company still has problems converting revenue growth into net profit.</t>
    </r>
  </si>
  <si>
    <t>%</t>
  </si>
  <si>
    <t>-</t>
  </si>
  <si>
    <t xml:space="preserve">Gross Margin </t>
  </si>
  <si>
    <t>GrossProfit/Revenue</t>
  </si>
  <si>
    <t>Operating Margin</t>
  </si>
  <si>
    <t>EBIT/Revenue</t>
  </si>
  <si>
    <t xml:space="preserve">Net Margin </t>
  </si>
  <si>
    <t>Net Income/Revenue</t>
  </si>
  <si>
    <t>Capex&amp;D&amp;A Analysis</t>
  </si>
  <si>
    <r>
      <rPr>
        <sz val="12"/>
        <color rgb="FF000000"/>
        <rFont val="Aptos Narrow"/>
        <charset val="204"/>
        <scheme val="minor"/>
      </rPr>
      <t>D&amp;A / Revenue increased from</t>
    </r>
    <r>
      <rPr>
        <sz val="12"/>
        <color rgb="FF000000"/>
        <rFont val="Aptos Narrow"/>
        <charset val="204"/>
      </rPr>
      <t> </t>
    </r>
    <r>
      <rPr>
        <b/>
        <sz val="12"/>
        <color rgb="FF000000"/>
        <rFont val="Aptos Narrow"/>
        <charset val="204"/>
      </rPr>
      <t>1.10% to 4.34%</t>
    </r>
    <r>
      <rPr>
        <sz val="12"/>
        <color rgb="FF000000"/>
        <rFont val="Aptos Narrow"/>
        <charset val="204"/>
      </rPr>
      <t>, showing a growing depreciation burden. CAPEX / Revenue rose until 2024, but sharply dropped in 2025 to</t>
    </r>
    <r>
      <rPr>
        <sz val="12"/>
        <color rgb="FF000000"/>
        <rFont val="Aptos Narrow"/>
        <charset val="204"/>
      </rPr>
      <t> </t>
    </r>
    <r>
      <rPr>
        <b/>
        <sz val="12"/>
        <color rgb="FF000000"/>
        <rFont val="Aptos Narrow"/>
        <charset val="204"/>
      </rPr>
      <t>1.24%</t>
    </r>
    <r>
      <rPr>
        <sz val="12"/>
        <color rgb="FF000000"/>
        <rFont val="Aptos Narrow"/>
        <charset val="204"/>
      </rPr>
      <t>. This means the company reduced investment activity after several years of expansion.</t>
    </r>
  </si>
  <si>
    <t>D&amp;A / Revenue</t>
  </si>
  <si>
    <t>CAPEX / Revenue</t>
  </si>
  <si>
    <t>CAPEX / D&amp;A</t>
  </si>
  <si>
    <t>x (times)</t>
  </si>
  <si>
    <t>Working Capital analysis</t>
  </si>
  <si>
    <t>Receivable days, inventory days, and payable days all increased significantly. This means the company collects cash more slowly, holds more inventory, and delays payments to suppliers. NWC became positive in 2024–2025, so more cash is tied up in working capital, which negatively affects free cash flow.</t>
  </si>
  <si>
    <t>Receivable days</t>
  </si>
  <si>
    <t>(AccountsReceivable/Revenue)*365</t>
  </si>
  <si>
    <t>days</t>
  </si>
  <si>
    <t>Inventory days</t>
  </si>
  <si>
    <t>(Inventory/COGS)*365</t>
  </si>
  <si>
    <t>Payable days</t>
  </si>
  <si>
    <t>(Accounts_Payable/COGS)*365</t>
  </si>
  <si>
    <t>NWC</t>
  </si>
  <si>
    <t>Accounts_Receivable+Inventory-Accounts_Payable</t>
  </si>
  <si>
    <t>ΔNWC</t>
  </si>
  <si>
    <t>NWCt-NWC(t-1)</t>
  </si>
  <si>
    <t>Leverage</t>
  </si>
  <si>
    <r>
      <rPr>
        <sz val="14"/>
        <color rgb="FF000000"/>
        <rFont val="-webkit-standard"/>
        <charset val="204"/>
      </rPr>
      <t>Net debt increased from </t>
    </r>
    <r>
      <rPr>
        <b/>
        <sz val="12"/>
        <color rgb="FF000000"/>
        <rFont val="Aptos Narrow"/>
        <charset val="204"/>
      </rPr>
      <t>RUB 7,616 million to RUB 14,809 million</t>
    </r>
    <r>
      <rPr>
        <sz val="14"/>
        <color rgb="FF000000"/>
        <rFont val="-webkit-standard"/>
        <charset val="204"/>
      </rPr>
      <t>, but Debt / Equity decreased from </t>
    </r>
    <r>
      <rPr>
        <b/>
        <sz val="12"/>
        <color rgb="FF000000"/>
        <rFont val="Aptos Narrow"/>
        <charset val="204"/>
      </rPr>
      <t>2.61x to 0.95x</t>
    </r>
    <r>
      <rPr>
        <sz val="14"/>
        <color rgb="FF000000"/>
        <rFont val="-webkit-standard"/>
        <charset val="204"/>
      </rPr>
      <t>. Therefore, debt increased in absolute terms, but the capital structure became more balanced.</t>
    </r>
  </si>
  <si>
    <t>Net debt</t>
  </si>
  <si>
    <t>Short Term Debt+Long Term Debt-Cash and Cash_Equivalents</t>
  </si>
  <si>
    <t>Debt / Equity</t>
  </si>
  <si>
    <t>Total Debt/Total Equity</t>
  </si>
  <si>
    <r>
      <rPr>
        <sz val="14"/>
        <color rgb="FFFF0000"/>
        <rFont val="Times New Roman Regular"/>
        <charset val="134"/>
      </rPr>
      <t>Overall Conclusion:</t>
    </r>
    <r>
      <rPr>
        <sz val="14"/>
        <color theme="1"/>
        <rFont val="Times New Roman Regular"/>
        <charset val="134"/>
      </rPr>
      <t>The company is growing and improving gross profitability, but net profitability and cash flow remain weak. The main concerns are low net margin, increasing working capital needs, and rising net debt.</t>
    </r>
  </si>
  <si>
    <t>Time period : 5 years</t>
  </si>
  <si>
    <t>Assumtions</t>
  </si>
  <si>
    <t>2024A</t>
  </si>
  <si>
    <t>2025A</t>
  </si>
  <si>
    <t>2026F</t>
  </si>
  <si>
    <t>2027F</t>
  </si>
  <si>
    <t>2028F</t>
  </si>
  <si>
    <t>2029F</t>
  </si>
  <si>
    <t>2030F</t>
  </si>
  <si>
    <t>FCFF = EBIT × (1 – Tax) + D&amp;A – CAPEX – ΔNWC</t>
  </si>
  <si>
    <t>Revenue growth</t>
  </si>
  <si>
    <t>n/a</t>
  </si>
  <si>
    <t>EBIT margin</t>
  </si>
  <si>
    <t>Where:</t>
  </si>
  <si>
    <t>Tax rate</t>
  </si>
  <si>
    <r>
      <rPr>
        <sz val="14"/>
        <color rgb="FFC00000"/>
        <rFont val="Times New Roman Regular"/>
        <charset val="204"/>
      </rPr>
      <t>EBIT</t>
    </r>
    <r>
      <rPr>
        <sz val="14"/>
        <color rgb="FF0F1115"/>
        <rFont val="Times New Roman Regular"/>
        <charset val="204"/>
      </rPr>
      <t> = Operating profit</t>
    </r>
  </si>
  <si>
    <r>
      <rPr>
        <sz val="14"/>
        <color rgb="FFC00000"/>
        <rFont val="Times New Roman Regular"/>
        <charset val="204"/>
      </rPr>
      <t>D&amp;A</t>
    </r>
    <r>
      <rPr>
        <sz val="14"/>
        <color rgb="FF0F1115"/>
        <rFont val="Times New Roman Regular"/>
        <charset val="204"/>
      </rPr>
      <t> = Depreciation &amp; Amortization</t>
    </r>
  </si>
  <si>
    <r>
      <rPr>
        <sz val="14"/>
        <color rgb="FFC00000"/>
        <rFont val="Times New Roman Regular"/>
        <charset val="204"/>
      </rPr>
      <t>CAPEX</t>
    </r>
    <r>
      <rPr>
        <sz val="14"/>
        <color rgb="FF0F1115"/>
        <rFont val="Times New Roman Regular"/>
        <charset val="204"/>
      </rPr>
      <t> = Capital expenditures</t>
    </r>
  </si>
  <si>
    <t>NWC / Revenue</t>
  </si>
  <si>
    <r>
      <rPr>
        <sz val="14"/>
        <color rgb="FFC00000"/>
        <rFont val="Times New Roman Regular"/>
        <charset val="204"/>
      </rPr>
      <t>ΔNWC</t>
    </r>
    <r>
      <rPr>
        <sz val="14"/>
        <color rgb="FF0F1115"/>
        <rFont val="Times New Roman Regular"/>
        <charset val="204"/>
      </rPr>
      <t> = Change in Net Working Capital (NWC = Receivables + Inventory – Payables)</t>
    </r>
  </si>
  <si>
    <t>Calculations (million RUB)</t>
  </si>
  <si>
    <t>Revenue</t>
  </si>
  <si>
    <t>million RUB</t>
  </si>
  <si>
    <t xml:space="preserve">EBIT </t>
  </si>
  <si>
    <t>NOPAT</t>
  </si>
  <si>
    <t xml:space="preserve">D&amp;A   </t>
  </si>
  <si>
    <t xml:space="preserve">CAPEX   </t>
  </si>
  <si>
    <t>NWC (end of year)</t>
  </si>
  <si>
    <t>FCFF</t>
  </si>
  <si>
    <t>Revenue growth:</t>
  </si>
  <si>
    <t>The company grew rapidly in 2023–2025: +30% in 2023, +10.8% in 2024, and +17.7% in 2025.</t>
  </si>
  <si>
    <t>However, the IT market is gradually becoming saturated, and competition is increasing. We predict a slowdown to 5% in 2030 - close to the long-term growth rate of the Russian economy (inflation + real GDP).</t>
  </si>
  <si>
    <t>EBIT margin:</t>
  </si>
  <si>
    <t>Historical EBIT margin was low due to one-time effects and high financial expenses.</t>
  </si>
  <si>
    <t>However, operating efficiency is improving (gross margin increased from 17% to 49% over five years). We expect a cautious improvement due to scale and cost control.</t>
  </si>
  <si>
    <t>Tax rate:</t>
  </si>
  <si>
    <t xml:space="preserve">The 0% corporate tax rate for Softline in 2024 was part of a government support program for accredited Russian IT companies, which was in effect from 2022 through the end of 2024. </t>
  </si>
  <si>
    <t>Starting in 2025, the tax rate was increased to 5% as the government phased out the full exemption but maintained a reduced rate for the IT sector for the 2025–2027 period.</t>
  </si>
  <si>
    <t>D&amp;A / Revenue:</t>
  </si>
  <si>
    <t>D&amp;A grew faster than revenue in 2021–2024, but stabilized in 2025.</t>
  </si>
  <si>
    <t>From there, the share will gradually decline, as assets are already sufficiently upgraded.</t>
  </si>
  <si>
    <t>CAPEX / Revenue:</t>
  </si>
  <si>
    <t>Perhaps the company held back investments due to the high interest rate. In our forecast, we assume a normal level of 3.5–4% of revenue to allow the business to grow.</t>
  </si>
  <si>
    <t>CAPEX should not be lower than D&amp;A, otherwise fixed assets will depreciate. Our forecast places CAPEX slightly below D&amp;A in the first few years—acceptable if there is excess capacity.</t>
  </si>
  <si>
    <t>NWC / Revenue:</t>
  </si>
  <si>
    <t>We see that NWC has become positive over the past two years (the company is diverting more funds to accounts receivable and inventory than it is receiving from suppliers).</t>
  </si>
  <si>
    <t>For the forecast, we'll assume 9.5% of revenue—the average for 2024–2025.</t>
  </si>
  <si>
    <t>NWC = Accounts Receivable + Inventory – Accounts Payable</t>
  </si>
  <si>
    <t>Historically, NWC/Revenue was:</t>
  </si>
  <si>
    <t>2020: (8,419 + 3,113 - 15,092) / 69,342 = -3.56%</t>
  </si>
  <si>
    <t>2021: -4.43%</t>
  </si>
  <si>
    <t>2022: -3.27%</t>
  </si>
  <si>
    <t>2023: -7.05%</t>
  </si>
  <si>
    <t>2024: +7.99%</t>
  </si>
  <si>
    <t>2025: +9.47%</t>
  </si>
  <si>
    <t>Overall Conclusion:</t>
  </si>
  <si>
    <t xml:space="preserve">The forecast shows a steady improvement in FCFF from RUB 3,524 million in 2026 to RUB 9,371 million in 2030. </t>
  </si>
  <si>
    <t xml:space="preserve">This is driven by revenue growth (15% to 5%), EBIT margin expansion (4.5% to 6.5%), and a stable NWC-to-revenue ratio of 9.5%. </t>
  </si>
  <si>
    <t xml:space="preserve">The effective tax rate is set at 5% (IT sector benefit), which supports NOPAT. </t>
  </si>
  <si>
    <t xml:space="preserve">CAPEX remains close to D&amp;A, ensuring sustainable investment without overstating free cash flow. </t>
  </si>
  <si>
    <t>Overall, the FCFF projection is realistic and internally consistent.</t>
  </si>
  <si>
    <t>1.</t>
  </si>
  <si>
    <t>WACC = (E / V)​× Re​+ (D / V)​× Rd​× (1 − T)</t>
  </si>
  <si>
    <t>Parameter</t>
  </si>
  <si>
    <t>Value</t>
  </si>
  <si>
    <t>Source / Comment</t>
  </si>
  <si>
    <t>Risk-free rate (Rf)</t>
  </si>
  <si>
    <t>10-year OFZ yield, April 2026</t>
  </si>
  <si>
    <t>Market risk premium (Rm – Rf)</t>
  </si>
  <si>
    <t>5-year average MOEX Russia index</t>
  </si>
  <si>
    <r>
      <rPr>
        <sz val="14"/>
        <color rgb="FFC00000"/>
        <rFont val="Times New Roman Regular"/>
        <charset val="204"/>
      </rPr>
      <t>E</t>
    </r>
    <r>
      <rPr>
        <sz val="14"/>
        <color rgb="FF0F1115"/>
        <rFont val="Times New Roman Regular"/>
        <charset val="204"/>
      </rPr>
      <t> = market va</t>
    </r>
    <r>
      <rPr>
        <b/>
        <sz val="14"/>
        <color rgb="FF0F1115"/>
        <rFont val="Times New Roman Regular"/>
        <charset val="204"/>
      </rPr>
      <t>l</t>
    </r>
    <r>
      <rPr>
        <sz val="14"/>
        <color rgb="FF0F1115"/>
        <rFont val="Times New Roman Regular"/>
        <charset val="204"/>
      </rPr>
      <t>ue of equity (from 2025 balance sheet = 29,544 million RUB)</t>
    </r>
  </si>
  <si>
    <t>Beta (β)</t>
  </si>
  <si>
    <t>Typical for Russian IT sector</t>
  </si>
  <si>
    <r>
      <rPr>
        <sz val="14"/>
        <color rgb="FFC00000"/>
        <rFont val="Times New Roman Regular"/>
        <charset val="204"/>
      </rPr>
      <t>D</t>
    </r>
    <r>
      <rPr>
        <sz val="14"/>
        <color rgb="FF0F1115"/>
        <rFont val="Times New Roman Regular"/>
        <charset val="204"/>
      </rPr>
      <t> = total debt (from 2025 balance sheet = 27,943 million RUB)</t>
    </r>
  </si>
  <si>
    <t>Cost of equity (Re)</t>
  </si>
  <si>
    <r>
      <rPr>
        <sz val="14"/>
        <color rgb="FFC00000"/>
        <rFont val="Times New Roman Regular"/>
        <charset val="204"/>
      </rPr>
      <t>V</t>
    </r>
    <r>
      <rPr>
        <sz val="14"/>
        <color rgb="FF0F1115"/>
        <rFont val="Times New Roman Regular"/>
        <charset val="204"/>
      </rPr>
      <t xml:space="preserve"> = E + D (29,544 + 27,943 = 57,487 million RUB)</t>
    </r>
  </si>
  <si>
    <r>
      <rPr>
        <sz val="14"/>
        <color rgb="FFC00000"/>
        <rFont val="Times New Roman Regular"/>
        <charset val="204"/>
      </rPr>
      <t>Re</t>
    </r>
    <r>
      <rPr>
        <sz val="14"/>
        <color rgb="FF0F1115"/>
        <rFont val="Times New Roman Regular"/>
        <charset val="204"/>
      </rPr>
      <t> = cost of equity (calculated using CAPM)</t>
    </r>
  </si>
  <si>
    <t>Total debt (D)</t>
  </si>
  <si>
    <t>million RUB, from Data 2025</t>
  </si>
  <si>
    <r>
      <rPr>
        <sz val="14"/>
        <color rgb="FFC00000"/>
        <rFont val="Times New Roman Regular"/>
        <charset val="204"/>
      </rPr>
      <t>Rd</t>
    </r>
    <r>
      <rPr>
        <sz val="14"/>
        <color rgb="FF0F1115"/>
        <rFont val="Times New Roman Regular"/>
        <charset val="204"/>
      </rPr>
      <t> = cost of debt (interest rate on loans)</t>
    </r>
  </si>
  <si>
    <t>Equity (E)</t>
  </si>
  <si>
    <r>
      <rPr>
        <sz val="14"/>
        <color rgb="FFC00000"/>
        <rFont val="Times New Roman Regular"/>
        <charset val="204"/>
      </rPr>
      <t>T</t>
    </r>
    <r>
      <rPr>
        <sz val="14"/>
        <color rgb="FF0F1115"/>
        <rFont val="Times New Roman Regular"/>
        <charset val="204"/>
      </rPr>
      <t xml:space="preserve"> = corporate tax rate (5%) </t>
    </r>
  </si>
  <si>
    <t>Total capital (V = D+E)</t>
  </si>
  <si>
    <t>Debt weight (D/V)</t>
  </si>
  <si>
    <t>Equity weight (E/V)</t>
  </si>
  <si>
    <t>2.</t>
  </si>
  <si>
    <t>Re (CAPM for Russian market):</t>
  </si>
  <si>
    <t>Tax rate (T)</t>
  </si>
  <si>
    <t>Special benefit for IT companies</t>
  </si>
  <si>
    <t>Re = Rf + β × (Rm − Rf) Re​= Rf​+ β × (Rm​−Rf)</t>
  </si>
  <si>
    <t>Pre-tax cost of debt (Rd)</t>
  </si>
  <si>
    <t>Financial expenses / average debt</t>
  </si>
  <si>
    <t>After-tax cost of debt</t>
  </si>
  <si>
    <r>
      <rPr>
        <sz val="14"/>
        <color rgb="FFC00000"/>
        <rFont val="Times New Roman Regular"/>
        <charset val="204"/>
      </rPr>
      <t>Rf</t>
    </r>
    <r>
      <rPr>
        <sz val="14"/>
        <color rgb="FF0F1115"/>
        <rFont val="Times New Roman Regular"/>
        <charset val="204"/>
      </rPr>
      <t> (risk-free rate) - yield on long-term OFZ (10 years). April 2026, it is about 14.5%.</t>
    </r>
  </si>
  <si>
    <t>WACC</t>
  </si>
  <si>
    <t>≈ 21.8%</t>
  </si>
  <si>
    <r>
      <rPr>
        <sz val="14"/>
        <color rgb="FFC00000"/>
        <rFont val="Times New Roman Regular"/>
        <charset val="204"/>
      </rPr>
      <t>(Rm – Rf)</t>
    </r>
    <r>
      <rPr>
        <sz val="14"/>
        <color rgb="FF0F1115"/>
        <rFont val="Times New Roman Regular"/>
        <charset val="204"/>
      </rPr>
      <t> - (market risk premium) average stock market return above the risk-free rate. For Russia, typically 6–7%. Thus, we will take 6%.</t>
    </r>
  </si>
  <si>
    <r>
      <rPr>
        <sz val="14"/>
        <color rgb="FFC00000"/>
        <rFont val="Times New Roman Regular"/>
        <charset val="204"/>
      </rPr>
      <t>β (beta)</t>
    </r>
    <r>
      <rPr>
        <sz val="14"/>
        <color rgb="FF0F1115"/>
        <rFont val="Times New Roman Regular"/>
        <charset val="204"/>
      </rPr>
      <t> - measures the company's risk relative to the market. For the Russian IT sector, β ≈ 1.2</t>
    </r>
  </si>
  <si>
    <t>Re = 14.5% + 1.2 × 6%  = 21.7%</t>
  </si>
  <si>
    <t>3.</t>
  </si>
  <si>
    <t>Rd (cost of debt)</t>
  </si>
  <si>
    <t>For 2025:</t>
  </si>
  <si>
    <t>Financial expenses = 6,043 million RUB</t>
  </si>
  <si>
    <t>Total debt at beginning of 2025 = 24,085 million RUB (from Data 2024)</t>
  </si>
  <si>
    <t>Total debt at end of 2025 = 27,943 million RUB</t>
  </si>
  <si>
    <t>Average debt = (24,085 + 27,943) / 2 = 26,014 million RUB</t>
  </si>
  <si>
    <t>Effective pre-tax rate: Rd = 6,043 / 26,014 ≈ 0.232 = 23.2% ≈ 23%</t>
  </si>
  <si>
    <t>After tax (5%): Rd × (1 − 0.05)= 23% × 0.95 = 21.85%</t>
  </si>
  <si>
    <t>4.</t>
  </si>
  <si>
    <t>Calculate WACC</t>
  </si>
  <si>
    <t>E / V = 29,544 / 57,487 ≈ 0.514 (51.4%)</t>
  </si>
  <si>
    <t>D / V = 27,943 / 57,487 ≈ 0.486 (48.6%)</t>
  </si>
  <si>
    <t>Re = 21.7%</t>
  </si>
  <si>
    <t>Rd × (1 - T) = 21.85%</t>
  </si>
  <si>
    <t>WACC = 0.514 × 21.7% + 0.486 × 21.85% = 21.77% ≈ 21.8%</t>
  </si>
  <si>
    <t xml:space="preserve">The WACC is calculated at 21.8%, based on a risk‑free rate of 14.5% (10‑year OFZ), a market risk premium of 6%, and a beta of 1.2 for the Russian IT sector. </t>
  </si>
  <si>
    <t xml:space="preserve">The cost of debt is 23% pre‑tax, reduced to 21.85% after the 5% tax rate. </t>
  </si>
  <si>
    <t xml:space="preserve">The target capital structure (51.4% equity, 48.6% debt) reflects 2025 balances. </t>
  </si>
  <si>
    <t>The resulting WACC is appropriate given the high interest rate environment and the company’s moderate leverage.</t>
  </si>
  <si>
    <t>TV = FCFn+1 / WACC − g</t>
  </si>
  <si>
    <t>Parametr</t>
  </si>
  <si>
    <t>Data</t>
  </si>
  <si>
    <t>FCFF for 2030 (million RUB)</t>
  </si>
  <si>
    <t>From Forecast model sheet</t>
  </si>
  <si>
    <r>
      <rPr>
        <sz val="14"/>
        <color rgb="FFC00000"/>
        <rFont val="Times New Roman Regular"/>
        <charset val="204"/>
      </rPr>
      <t>TV</t>
    </r>
    <r>
      <rPr>
        <sz val="14"/>
        <color rgb="FF0F1115"/>
        <rFont val="Times New Roman Regular"/>
        <charset val="204"/>
      </rPr>
      <t> = Terminal Value at the end of the forecast period (December 31, 2030)</t>
    </r>
  </si>
  <si>
    <t>Long-term growth rate (g)</t>
  </si>
  <si>
    <t>Benchmark: long-term inflation + GDP growth in Russia</t>
  </si>
  <si>
    <r>
      <rPr>
        <sz val="14"/>
        <color rgb="FFC00000"/>
        <rFont val="Times New Roman Regular"/>
        <charset val="204"/>
      </rPr>
      <t>FCF_{n+1}</t>
    </r>
    <r>
      <rPr>
        <sz val="14"/>
        <color rgb="FF0F1115"/>
        <rFont val="Times New Roman Regular"/>
        <charset val="204"/>
      </rPr>
      <t> = Free Cash Flow to Firm (FCFF) for the first year after the forecast period (i.e., 2031)</t>
    </r>
  </si>
  <si>
    <t>From WACC calculation sheet</t>
  </si>
  <si>
    <r>
      <rPr>
        <sz val="14"/>
        <color rgb="FFC00000"/>
        <rFont val="Times New Roman Regular"/>
        <charset val="204"/>
      </rPr>
      <t>WACC</t>
    </r>
    <r>
      <rPr>
        <sz val="14"/>
        <color rgb="FF0F1115"/>
        <rFont val="Times New Roman Regular"/>
        <charset val="204"/>
      </rPr>
      <t> = discount rate (21.8%)</t>
    </r>
  </si>
  <si>
    <r>
      <rPr>
        <sz val="14"/>
        <color rgb="FFC00000"/>
        <rFont val="Times New Roman Regular"/>
        <charset val="204"/>
      </rPr>
      <t>g</t>
    </r>
    <r>
      <rPr>
        <sz val="14"/>
        <color rgb="FF0F1115"/>
        <rFont val="Times New Roman Regular"/>
        <charset val="204"/>
      </rPr>
      <t> = long-term growth rate (typically 2–4% for Russia, we will take 3%)</t>
    </r>
  </si>
  <si>
    <t>Calculation</t>
  </si>
  <si>
    <t>FCFF for 2031 (million RUB)</t>
  </si>
  <si>
    <t>FCF(2031) = FCF(2030) × (1+g)</t>
  </si>
  <si>
    <t>FCF2031​= FCFF2030​× (1 + g)</t>
  </si>
  <si>
    <t>Denominator (WACC – g)</t>
  </si>
  <si>
    <t>Terminal Value (TV) at end of 2030</t>
  </si>
  <si>
    <t>FCF2031 = 9.371 * (1 + 3%) = 9.652 mln RUB</t>
  </si>
  <si>
    <t>FCFF(2030) = 9.371</t>
  </si>
  <si>
    <t>g = 3% = 0.03</t>
  </si>
  <si>
    <t>WACC = 21.8% = 0.218</t>
  </si>
  <si>
    <t>TV = (9.371 × 1.03) / (0.218 − 0.03) ≈ 51.341 million RUB</t>
  </si>
  <si>
    <t xml:space="preserve">Using the Gordon Growth model with FCFF(2030) = RUB 9,371 million, a long‑term growth rate g = 3% (in line with Russian GDP + inflation), and WACC = 21.8%, </t>
  </si>
  <si>
    <t xml:space="preserve">the terminal value at the end of 2030 is RUB 51,341 million. </t>
  </si>
  <si>
    <t>The growth assumption is conservative and well below the discount rate, making the TV estimate robust.</t>
  </si>
  <si>
    <t>PV = FV / (1 + r)^t</t>
  </si>
  <si>
    <t>Year</t>
  </si>
  <si>
    <t>FCFF (mln RUB)</t>
  </si>
  <si>
    <t>What we discount</t>
  </si>
  <si>
    <t>Distance from end of 2025 (t)</t>
  </si>
  <si>
    <t>FCFF(2026)</t>
  </si>
  <si>
    <t>1 year</t>
  </si>
  <si>
    <t>FCFF(2027)</t>
  </si>
  <si>
    <t>2 years</t>
  </si>
  <si>
    <t>t (years from 2025)</t>
  </si>
  <si>
    <t>Discount factor</t>
  </si>
  <si>
    <t>PV (mln RUB)</t>
  </si>
  <si>
    <r>
      <rPr>
        <sz val="14"/>
        <color rgb="FFC00000"/>
        <rFont val="Times New Roman Regular"/>
        <charset val="204"/>
      </rPr>
      <t>PV</t>
    </r>
    <r>
      <rPr>
        <sz val="14"/>
        <color rgb="FF0F1115"/>
        <rFont val="Times New Roman Regular"/>
        <charset val="204"/>
      </rPr>
      <t> = present value</t>
    </r>
  </si>
  <si>
    <t>FCFF(2028)</t>
  </si>
  <si>
    <t>3 years</t>
  </si>
  <si>
    <r>
      <rPr>
        <sz val="14"/>
        <color rgb="FFC00000"/>
        <rFont val="Times New Roman Regular"/>
        <charset val="204"/>
      </rPr>
      <t>FV</t>
    </r>
    <r>
      <rPr>
        <sz val="14"/>
        <color rgb="FF0F1115"/>
        <rFont val="Times New Roman Regular"/>
        <charset val="204"/>
      </rPr>
      <t> = future value</t>
    </r>
  </si>
  <si>
    <t>FCFF(2029)</t>
  </si>
  <si>
    <t>4 years</t>
  </si>
  <si>
    <r>
      <rPr>
        <sz val="14"/>
        <color rgb="FFC00000"/>
        <rFont val="Times New Roman Regular"/>
        <charset val="204"/>
      </rPr>
      <t>r</t>
    </r>
    <r>
      <rPr>
        <sz val="14"/>
        <color rgb="FF0F1115"/>
        <rFont val="Times New Roman Regular"/>
        <charset val="204"/>
      </rPr>
      <t> = discount rate (WACC = 21.8%)</t>
    </r>
  </si>
  <si>
    <t>FCFF(2030)</t>
  </si>
  <si>
    <t>5 years</t>
  </si>
  <si>
    <r>
      <rPr>
        <sz val="14"/>
        <color rgb="FFC00000"/>
        <rFont val="Times New Roman Regular"/>
        <charset val="204"/>
      </rPr>
      <t>t</t>
    </r>
    <r>
      <rPr>
        <sz val="14"/>
        <color rgb="FF0F1115"/>
        <rFont val="Times New Roman Regular"/>
        <charset val="204"/>
      </rPr>
      <t> = number of years from the valuation date to when the cash flow is received</t>
    </r>
  </si>
  <si>
    <t>TV</t>
  </si>
  <si>
    <t>TV(end of 2030)</t>
  </si>
  <si>
    <t>Sum of PV of FCFF</t>
  </si>
  <si>
    <t>Terminal Value (TV)</t>
  </si>
  <si>
    <t xml:space="preserve">Discounting the forecasted FCFF (2026–2030) and the terminal value back to end‑2025 at WACC = 21.8% yields an Enterprise Value of RUB 35,953 million. </t>
  </si>
  <si>
    <t xml:space="preserve">After subtracting Net Debt of RUB 14,809 million (total debt minus cash), the Equity Value is RUB 21,144 million, corresponding to RUB 52.86 per share. </t>
  </si>
  <si>
    <t>Enterprise Value (EV)</t>
  </si>
  <si>
    <t>The discounting process is correctly executed, and the resulting equity value is a conservative baseline for the DCF method.</t>
  </si>
  <si>
    <t>Net Debt as of 31.12.2025</t>
  </si>
  <si>
    <t>Equity Value</t>
  </si>
  <si>
    <t>RESOURCES</t>
  </si>
  <si>
    <t>Company</t>
  </si>
  <si>
    <t xml:space="preserve">Shares </t>
  </si>
  <si>
    <t>Market Cap</t>
  </si>
  <si>
    <t>Total Debt</t>
  </si>
  <si>
    <t>Cash</t>
  </si>
  <si>
    <t>Net Debt</t>
  </si>
  <si>
    <t>EBITDA</t>
  </si>
  <si>
    <t>EBIT</t>
  </si>
  <si>
    <t>Net Income</t>
  </si>
  <si>
    <t xml:space="preserve">Enterprise Value </t>
  </si>
  <si>
    <t>EV/Revenue</t>
  </si>
  <si>
    <t>EV/EBITDA</t>
  </si>
  <si>
    <t>EV/EBIT</t>
  </si>
  <si>
    <t>P/E</t>
  </si>
  <si>
    <t>Market Cap=Share Price×Number of Shares Outstanding</t>
  </si>
  <si>
    <t>Softline</t>
  </si>
  <si>
    <t xml:space="preserve"> https://softlinegroup.com/investors/finansovye-otchety-i-prezentacii/</t>
  </si>
  <si>
    <t>POSI</t>
  </si>
  <si>
    <t>https://group.ptsecurity.com/ru/investors/reports-and-results</t>
  </si>
  <si>
    <t>Arenadata</t>
  </si>
  <si>
    <t>https://smart-lab.ru/q/DATA/f/y/MSFO/en</t>
  </si>
  <si>
    <t>VK</t>
  </si>
  <si>
    <t>n.m</t>
  </si>
  <si>
    <t>https://vk.company/en/investors/results/</t>
  </si>
  <si>
    <t>Astra</t>
  </si>
  <si>
    <t>https://astra.ru/investors/results/</t>
  </si>
  <si>
    <t>https://ru.investing.com/equities/gruppa-astra-pao</t>
  </si>
  <si>
    <t>not meaningful due to negative earnings</t>
  </si>
  <si>
    <t>https://ru.investing.com/equities/arenadata-group-pjsc</t>
  </si>
  <si>
    <t xml:space="preserve">Shares price </t>
  </si>
  <si>
    <t>https://ru.investing.com/equities/gruppa-pozitiv-pao-historical-data</t>
  </si>
  <si>
    <t>https://ru.investing.com/equities/softline-pao-historical-data</t>
  </si>
  <si>
    <t>ASTRA</t>
  </si>
  <si>
    <t xml:space="preserve">Arendata </t>
  </si>
  <si>
    <t>Comparable Companies Valuation of Softline</t>
  </si>
  <si>
    <t>Implied EV = Median EV/Revenue × Softline Revenue</t>
  </si>
  <si>
    <t>Multiple</t>
  </si>
  <si>
    <t>Median</t>
  </si>
  <si>
    <t>Softline Metric</t>
  </si>
  <si>
    <t>Implied EV</t>
  </si>
  <si>
    <t>Implied Equity Value</t>
  </si>
  <si>
    <t>Implied Price per Share</t>
  </si>
  <si>
    <t>Implied Equity Value = Implied EV − Softline Net Debt</t>
  </si>
  <si>
    <t>Implied Price per Share = Implied Equity Value × 1,000,000 / Shares Outstanding</t>
  </si>
  <si>
    <t>Implied EV = Median EV/EBITDA × Softline EBITDA</t>
  </si>
  <si>
    <t>—</t>
  </si>
  <si>
    <t>Implied EV = Median EV/EBIT × Softline EBIT</t>
  </si>
  <si>
    <t>Valuation Summary</t>
  </si>
  <si>
    <t>Implied Equity Value = Median P/E × Softline Net Income</t>
  </si>
  <si>
    <t>Metric</t>
  </si>
  <si>
    <t>EV/Revenue Price</t>
  </si>
  <si>
    <t>Final Price per Share = Median of selected implied share prices</t>
  </si>
  <si>
    <t>EV/EBITDA Price</t>
  </si>
  <si>
    <t>Final Equity Value = Final Price per Share × Shares Outstanding / 1,000,000</t>
  </si>
  <si>
    <t>P/E Price</t>
  </si>
  <si>
    <t>Final Price per Share (Median)</t>
  </si>
  <si>
    <t>Upside / Downside = (Final Price per Share − Market Price) / Market Price</t>
  </si>
  <si>
    <t>Final Equity Value (mln RUB)</t>
  </si>
  <si>
    <t>Market Price (31.12.2025)</t>
  </si>
  <si>
    <t>Upside/Downside</t>
  </si>
  <si>
    <t>Result</t>
  </si>
  <si>
    <t>Undervalued</t>
  </si>
  <si>
    <r>
      <rPr>
        <sz val="14"/>
        <color rgb="FFFF0000"/>
        <rFont val="Times New Roman Regular"/>
        <charset val="204"/>
      </rPr>
      <t xml:space="preserve">Overall Conclusion : </t>
    </r>
    <r>
      <rPr>
        <sz val="14"/>
        <color rgb="FF000000"/>
        <rFont val="Times New Roman Regular"/>
        <charset val="204"/>
      </rPr>
      <t>The comparable companies valuation suggests that Softline shares are undervalued relative to the current market price. The final estimate is based mainly on the EV/EBITDA multiple, as it is more appropriate for comparing companies with different capital structures and less distorted by low net income. Based on this approach, the implied share price is 103.42 RUB, which is approximately 31% above the current market price of 79 RUB.</t>
    </r>
  </si>
  <si>
    <t>1. Final Valuation Results</t>
  </si>
  <si>
    <t>Method</t>
  </si>
  <si>
    <t>Enterprise Value, mln RUB</t>
  </si>
  <si>
    <t>Net Debt, mln RUB</t>
  </si>
  <si>
    <t>Equity Value, mln RUB</t>
  </si>
  <si>
    <t>Price per Share, RUB</t>
  </si>
  <si>
    <t>Comment</t>
  </si>
  <si>
    <t>Equity Value = Enterprise Value − Net Debt</t>
  </si>
  <si>
    <t>DCF valuation</t>
  </si>
  <si>
    <t>Base-case method</t>
  </si>
  <si>
    <t>DCF Equity Value = DCF Enterprise Value − Net Debt</t>
  </si>
  <si>
    <t>Comparable companies valuation</t>
  </si>
  <si>
    <t>Cross-check method based on EV/EBITDA</t>
  </si>
  <si>
    <t>Multiples Equity Value = Multiples Enterprise Value − Net Debt</t>
  </si>
  <si>
    <t>Price per Share = Equity Value × 1,000,000 / Number of Shares</t>
  </si>
  <si>
    <t>DCF Upside / Downside = (DCF Price per Share − Market Price) / Market Price</t>
  </si>
  <si>
    <t>Multiples Upside / Downside = (Multiples Price per Share − Market Price) / Market Price</t>
  </si>
  <si>
    <t>2. Market Price Comparison</t>
  </si>
  <si>
    <t>3.Final Valuation Range</t>
  </si>
  <si>
    <t>Lower Bound = DCF Price per Share</t>
  </si>
  <si>
    <t>Upper Bound = Multiples Price per Share</t>
  </si>
  <si>
    <t>Indicator</t>
  </si>
  <si>
    <t>Valuation Range = Lower Bound — Upper Bound</t>
  </si>
  <si>
    <t>Current market price per share, RUB</t>
  </si>
  <si>
    <t>Lower bound — DCF valuation</t>
  </si>
  <si>
    <t>If Market Price &lt; Lower Bound → Undervalued</t>
  </si>
  <si>
    <t>DCF implied price per share, RUB</t>
  </si>
  <si>
    <t>Upper bound — EV/EBITDA multiples valuation</t>
  </si>
  <si>
    <t>If Market Price &gt; Upper Bound → Overvalued</t>
  </si>
  <si>
    <t>Multiples implied price per share, RUB</t>
  </si>
  <si>
    <t>Current market price</t>
  </si>
  <si>
    <t>If Market Price is within the range → Mixed result / fairly valued within range</t>
  </si>
  <si>
    <t>DCF upside/downside</t>
  </si>
  <si>
    <t>Multiples upside/downside</t>
  </si>
  <si>
    <t xml:space="preserve">The valuation results are mixed. The DCF method gives a conservative estimate of 52.86 RUB per share, which is below the current market price of 79 RUB. </t>
  </si>
  <si>
    <t xml:space="preserve">The comparable companies valuation based on EV/EBITDA gives an estimate of 103.42 RUB per share, which is above the current market price. </t>
  </si>
  <si>
    <t>Therefore, the final valuation range is 52.86–103.42 RUB per share. Since the current market price lies within this range, Softline can be considered fairly valued within the estimated range.</t>
  </si>
</sst>
</file>

<file path=xl/styles.xml><?xml version="1.0" encoding="utf-8"?>
<styleSheet xmlns="http://schemas.openxmlformats.org/spreadsheetml/2006/main" xmlns:mc="http://schemas.openxmlformats.org/markup-compatibility/2006" xmlns:xr9="http://schemas.microsoft.com/office/spreadsheetml/2016/revision9" mc:Ignorable="xr9">
  <numFmts count="9">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0.00_ "/>
    <numFmt numFmtId="177" formatCode="0_ "/>
    <numFmt numFmtId="178" formatCode="#,000_);[Red]\(#,000\)"/>
    <numFmt numFmtId="179" formatCode="#,##0.000;\-#,##0.00"/>
    <numFmt numFmtId="180" formatCode="0.0%"/>
  </numFmts>
  <fonts count="46">
    <font>
      <sz val="12"/>
      <color theme="1"/>
      <name val="Aptos Narrow"/>
      <charset val="204"/>
      <scheme val="minor"/>
    </font>
    <font>
      <sz val="12"/>
      <color theme="1"/>
      <name val="Times New Roman Regular"/>
      <charset val="204"/>
    </font>
    <font>
      <b/>
      <sz val="14"/>
      <color rgb="FFC00000"/>
      <name val="Times New Roman Regular"/>
      <charset val="204"/>
    </font>
    <font>
      <b/>
      <sz val="14"/>
      <color rgb="FF000000"/>
      <name val="Times New Roman Regular"/>
      <charset val="204"/>
    </font>
    <font>
      <sz val="14"/>
      <color rgb="FF000000"/>
      <name val="Times New Roman Regular"/>
      <charset val="204"/>
    </font>
    <font>
      <sz val="14"/>
      <color theme="1"/>
      <name val="Times New Roman Regular"/>
      <charset val="204"/>
    </font>
    <font>
      <sz val="14"/>
      <color rgb="FFFF0000"/>
      <name val="Times New Roman Regular"/>
      <charset val="204"/>
    </font>
    <font>
      <b/>
      <sz val="14"/>
      <color theme="1"/>
      <name val="Times New Roman Regular"/>
      <charset val="204"/>
    </font>
    <font>
      <sz val="16"/>
      <color theme="1"/>
      <name val="Times New Roman Regular"/>
      <charset val="204"/>
    </font>
    <font>
      <sz val="14"/>
      <color rgb="FF0F1115"/>
      <name val="Times New Roman Regular"/>
      <charset val="204"/>
    </font>
    <font>
      <sz val="14"/>
      <color rgb="FFC00000"/>
      <name val="Times New Roman Regular"/>
      <charset val="204"/>
    </font>
    <font>
      <b/>
      <sz val="16"/>
      <color rgb="FFC00000"/>
      <name val="Aptos Narrow"/>
      <charset val="204"/>
      <scheme val="minor"/>
    </font>
    <font>
      <b/>
      <sz val="14"/>
      <color rgb="FF0F1115"/>
      <name val="Times New Roman Regular"/>
      <charset val="204"/>
    </font>
    <font>
      <sz val="12"/>
      <color rgb="FF0F1115"/>
      <name val="Times New Roman Regular"/>
      <charset val="204"/>
    </font>
    <font>
      <sz val="16"/>
      <color theme="1"/>
      <name val="Aptos Narrow"/>
      <charset val="204"/>
      <scheme val="minor"/>
    </font>
    <font>
      <sz val="11.25"/>
      <color rgb="FF0F1115"/>
      <name val="Times New Roman Regular"/>
      <charset val="204"/>
    </font>
    <font>
      <sz val="14.5"/>
      <color rgb="FF0F1115"/>
      <name val="Times New Roman Regular"/>
      <charset val="204"/>
    </font>
    <font>
      <b/>
      <sz val="16"/>
      <color rgb="FFC00000"/>
      <name val="Times New Roman Regular"/>
      <charset val="204"/>
    </font>
    <font>
      <sz val="14"/>
      <color theme="1"/>
      <name val="Times New Roman Regular"/>
      <charset val="134"/>
    </font>
    <font>
      <b/>
      <sz val="14"/>
      <color theme="1"/>
      <name val="Times New Roman Regular"/>
      <charset val="134"/>
    </font>
    <font>
      <sz val="14"/>
      <color rgb="FF000000"/>
      <name val="Times New Roman Regular"/>
      <charset val="134"/>
    </font>
    <font>
      <sz val="14"/>
      <color rgb="FFFF0000"/>
      <name val="Times New Roman Regular"/>
      <charset val="134"/>
    </font>
    <font>
      <sz val="14"/>
      <color rgb="FF000000"/>
      <name val="-webkit-standard"/>
      <charset val="204"/>
    </font>
    <font>
      <sz val="12"/>
      <color rgb="FF000000"/>
      <name val="Aptos Narrow"/>
      <charset val="204"/>
      <scheme val="minor"/>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
      <b/>
      <sz val="12"/>
      <color rgb="FF000000"/>
      <name val="Aptos Narrow"/>
      <charset val="204"/>
    </font>
    <font>
      <sz val="12"/>
      <color rgb="FF000000"/>
      <name val="Aptos Narrow"/>
      <charset val="204"/>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4" fillId="0" borderId="0" applyFont="0" applyFill="0" applyBorder="0" applyAlignment="0" applyProtection="0">
      <alignment vertical="center"/>
    </xf>
    <xf numFmtId="44" fontId="24" fillId="0" borderId="0" applyFont="0" applyFill="0" applyBorder="0" applyAlignment="0" applyProtection="0">
      <alignment vertical="center"/>
    </xf>
    <xf numFmtId="9" fontId="24" fillId="0" borderId="0" applyFont="0" applyFill="0" applyBorder="0" applyAlignment="0" applyProtection="0">
      <alignment vertical="center"/>
    </xf>
    <xf numFmtId="41" fontId="24" fillId="0" borderId="0" applyFont="0" applyFill="0" applyBorder="0" applyAlignment="0" applyProtection="0">
      <alignment vertical="center"/>
    </xf>
    <xf numFmtId="42" fontId="24" fillId="0" borderId="0" applyFont="0" applyFill="0" applyBorder="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4" fillId="3" borderId="3" applyNumberFormat="0" applyFont="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30" fillId="0" borderId="4" applyNumberFormat="0" applyFill="0" applyAlignment="0" applyProtection="0">
      <alignment vertical="center"/>
    </xf>
    <xf numFmtId="0" fontId="31" fillId="0" borderId="4" applyNumberFormat="0" applyFill="0" applyAlignment="0" applyProtection="0">
      <alignment vertical="center"/>
    </xf>
    <xf numFmtId="0" fontId="32" fillId="0" borderId="5" applyNumberFormat="0" applyFill="0" applyAlignment="0" applyProtection="0">
      <alignment vertical="center"/>
    </xf>
    <xf numFmtId="0" fontId="32" fillId="0" borderId="0" applyNumberFormat="0" applyFill="0" applyBorder="0" applyAlignment="0" applyProtection="0">
      <alignment vertical="center"/>
    </xf>
    <xf numFmtId="0" fontId="33" fillId="4" borderId="6" applyNumberFormat="0" applyAlignment="0" applyProtection="0">
      <alignment vertical="center"/>
    </xf>
    <xf numFmtId="0" fontId="34" fillId="5" borderId="7" applyNumberFormat="0" applyAlignment="0" applyProtection="0">
      <alignment vertical="center"/>
    </xf>
    <xf numFmtId="0" fontId="35" fillId="5" borderId="6" applyNumberFormat="0" applyAlignment="0" applyProtection="0">
      <alignment vertical="center"/>
    </xf>
    <xf numFmtId="0" fontId="36" fillId="6" borderId="8" applyNumberFormat="0" applyAlignment="0" applyProtection="0">
      <alignment vertical="center"/>
    </xf>
    <xf numFmtId="0" fontId="37" fillId="0" borderId="9" applyNumberFormat="0" applyFill="0" applyAlignment="0" applyProtection="0">
      <alignment vertical="center"/>
    </xf>
    <xf numFmtId="0" fontId="38" fillId="0" borderId="10" applyNumberFormat="0" applyFill="0" applyAlignment="0" applyProtection="0">
      <alignment vertical="center"/>
    </xf>
    <xf numFmtId="0" fontId="39" fillId="7" borderId="0" applyNumberFormat="0" applyBorder="0" applyAlignment="0" applyProtection="0">
      <alignment vertical="center"/>
    </xf>
    <xf numFmtId="0" fontId="40" fillId="8" borderId="0" applyNumberFormat="0" applyBorder="0" applyAlignment="0" applyProtection="0">
      <alignment vertical="center"/>
    </xf>
    <xf numFmtId="0" fontId="41" fillId="9" borderId="0" applyNumberFormat="0" applyBorder="0" applyAlignment="0" applyProtection="0">
      <alignment vertical="center"/>
    </xf>
    <xf numFmtId="0" fontId="42" fillId="10" borderId="0" applyNumberFormat="0" applyBorder="0" applyAlignment="0" applyProtection="0">
      <alignment vertical="center"/>
    </xf>
    <xf numFmtId="0" fontId="43" fillId="11" borderId="0" applyNumberFormat="0" applyBorder="0" applyAlignment="0" applyProtection="0">
      <alignment vertical="center"/>
    </xf>
    <xf numFmtId="0" fontId="43" fillId="12" borderId="0" applyNumberFormat="0" applyBorder="0" applyAlignment="0" applyProtection="0">
      <alignment vertical="center"/>
    </xf>
    <xf numFmtId="0" fontId="42" fillId="13" borderId="0" applyNumberFormat="0" applyBorder="0" applyAlignment="0" applyProtection="0">
      <alignment vertical="center"/>
    </xf>
    <xf numFmtId="0" fontId="42" fillId="14" borderId="0" applyNumberFormat="0" applyBorder="0" applyAlignment="0" applyProtection="0">
      <alignment vertical="center"/>
    </xf>
    <xf numFmtId="0" fontId="43" fillId="15" borderId="0" applyNumberFormat="0" applyBorder="0" applyAlignment="0" applyProtection="0">
      <alignment vertical="center"/>
    </xf>
    <xf numFmtId="0" fontId="43" fillId="16" borderId="0" applyNumberFormat="0" applyBorder="0" applyAlignment="0" applyProtection="0">
      <alignment vertical="center"/>
    </xf>
    <xf numFmtId="0" fontId="42" fillId="17" borderId="0" applyNumberFormat="0" applyBorder="0" applyAlignment="0" applyProtection="0">
      <alignment vertical="center"/>
    </xf>
    <xf numFmtId="0" fontId="42" fillId="18" borderId="0" applyNumberFormat="0" applyBorder="0" applyAlignment="0" applyProtection="0">
      <alignment vertical="center"/>
    </xf>
    <xf numFmtId="0" fontId="43" fillId="19" borderId="0" applyNumberFormat="0" applyBorder="0" applyAlignment="0" applyProtection="0">
      <alignment vertical="center"/>
    </xf>
    <xf numFmtId="0" fontId="43" fillId="20" borderId="0" applyNumberFormat="0" applyBorder="0" applyAlignment="0" applyProtection="0">
      <alignment vertical="center"/>
    </xf>
    <xf numFmtId="0" fontId="42" fillId="21" borderId="0" applyNumberFormat="0" applyBorder="0" applyAlignment="0" applyProtection="0">
      <alignment vertical="center"/>
    </xf>
    <xf numFmtId="0" fontId="42" fillId="22" borderId="0" applyNumberFormat="0" applyBorder="0" applyAlignment="0" applyProtection="0">
      <alignment vertical="center"/>
    </xf>
    <xf numFmtId="0" fontId="43" fillId="23" borderId="0" applyNumberFormat="0" applyBorder="0" applyAlignment="0" applyProtection="0">
      <alignment vertical="center"/>
    </xf>
    <xf numFmtId="0" fontId="43" fillId="24" borderId="0" applyNumberFormat="0" applyBorder="0" applyAlignment="0" applyProtection="0">
      <alignment vertical="center"/>
    </xf>
    <xf numFmtId="0" fontId="42" fillId="25" borderId="0" applyNumberFormat="0" applyBorder="0" applyAlignment="0" applyProtection="0">
      <alignment vertical="center"/>
    </xf>
    <xf numFmtId="0" fontId="42" fillId="26" borderId="0" applyNumberFormat="0" applyBorder="0" applyAlignment="0" applyProtection="0">
      <alignment vertical="center"/>
    </xf>
    <xf numFmtId="0" fontId="43" fillId="27" borderId="0" applyNumberFormat="0" applyBorder="0" applyAlignment="0" applyProtection="0">
      <alignment vertical="center"/>
    </xf>
    <xf numFmtId="0" fontId="43" fillId="28" borderId="0" applyNumberFormat="0" applyBorder="0" applyAlignment="0" applyProtection="0">
      <alignment vertical="center"/>
    </xf>
    <xf numFmtId="0" fontId="42" fillId="29" borderId="0" applyNumberFormat="0" applyBorder="0" applyAlignment="0" applyProtection="0">
      <alignment vertical="center"/>
    </xf>
    <xf numFmtId="0" fontId="42" fillId="30" borderId="0" applyNumberFormat="0" applyBorder="0" applyAlignment="0" applyProtection="0">
      <alignment vertical="center"/>
    </xf>
    <xf numFmtId="0" fontId="43" fillId="31" borderId="0" applyNumberFormat="0" applyBorder="0" applyAlignment="0" applyProtection="0">
      <alignment vertical="center"/>
    </xf>
    <xf numFmtId="0" fontId="43" fillId="32" borderId="0" applyNumberFormat="0" applyBorder="0" applyAlignment="0" applyProtection="0">
      <alignment vertical="center"/>
    </xf>
    <xf numFmtId="0" fontId="42" fillId="33" borderId="0" applyNumberFormat="0" applyBorder="0" applyAlignment="0" applyProtection="0">
      <alignment vertical="center"/>
    </xf>
  </cellStyleXfs>
  <cellXfs count="97">
    <xf numFmtId="0" fontId="0" fillId="0" borderId="0" xfId="0"/>
    <xf numFmtId="0" fontId="1" fillId="0" borderId="0" xfId="0" applyFont="1"/>
    <xf numFmtId="0" fontId="2" fillId="0" borderId="0" xfId="0" applyFont="1"/>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3" fontId="4" fillId="0" borderId="1" xfId="0" applyNumberFormat="1" applyFont="1" applyBorder="1" applyAlignment="1">
      <alignment vertical="center" wrapText="1"/>
    </xf>
    <xf numFmtId="4" fontId="4" fillId="0" borderId="1" xfId="0" applyNumberFormat="1" applyFont="1" applyBorder="1" applyAlignment="1">
      <alignment vertical="center" wrapText="1"/>
    </xf>
    <xf numFmtId="0" fontId="4" fillId="0" borderId="1" xfId="0" applyFont="1" applyBorder="1" applyAlignment="1">
      <alignment vertical="center" wrapText="1"/>
    </xf>
    <xf numFmtId="10" fontId="4" fillId="0" borderId="1" xfId="0" applyNumberFormat="1" applyFont="1" applyBorder="1" applyAlignment="1">
      <alignment vertical="center" wrapText="1"/>
    </xf>
    <xf numFmtId="0" fontId="5" fillId="0" borderId="0" xfId="0" applyFont="1"/>
    <xf numFmtId="0" fontId="1" fillId="0" borderId="0" xfId="0" applyFont="1" applyAlignment="1">
      <alignment vertical="center" wrapText="1"/>
    </xf>
    <xf numFmtId="0" fontId="1" fillId="0" borderId="0" xfId="0" applyFont="1" applyAlignment="1">
      <alignment wrapText="1"/>
    </xf>
    <xf numFmtId="0" fontId="5" fillId="0" borderId="0" xfId="0" applyFont="1" applyFill="1" applyAlignment="1"/>
    <xf numFmtId="0" fontId="4" fillId="0" borderId="1" xfId="0" applyFont="1" applyFill="1" applyBorder="1" applyAlignment="1">
      <alignment horizontal="center" wrapText="1"/>
    </xf>
    <xf numFmtId="0" fontId="5" fillId="0" borderId="1" xfId="0" applyFont="1" applyFill="1" applyBorder="1" applyAlignment="1">
      <alignment wrapText="1"/>
    </xf>
    <xf numFmtId="0" fontId="5" fillId="0" borderId="0" xfId="0" applyFont="1" applyFill="1" applyAlignment="1">
      <alignment horizontal="right" vertical="top"/>
    </xf>
    <xf numFmtId="0" fontId="4" fillId="0" borderId="1" xfId="0" applyFont="1" applyFill="1" applyBorder="1" applyAlignment="1">
      <alignment wrapText="1"/>
    </xf>
    <xf numFmtId="0" fontId="4" fillId="0" borderId="1" xfId="0" applyFont="1" applyFill="1" applyBorder="1" applyAlignment="1">
      <alignment horizontal="right" vertical="top"/>
    </xf>
    <xf numFmtId="0" fontId="5" fillId="0" borderId="1" xfId="0" applyFont="1" applyFill="1" applyBorder="1" applyAlignment="1">
      <alignment horizontal="right" vertical="top" wrapText="1"/>
    </xf>
    <xf numFmtId="0" fontId="5" fillId="0" borderId="1" xfId="0" applyFont="1" applyFill="1" applyBorder="1" applyAlignment="1">
      <alignment horizontal="left" vertical="top"/>
    </xf>
    <xf numFmtId="0" fontId="5" fillId="0" borderId="1" xfId="0" applyFont="1" applyFill="1" applyBorder="1" applyAlignment="1">
      <alignment horizontal="right" vertical="top"/>
    </xf>
    <xf numFmtId="0" fontId="4" fillId="0" borderId="1" xfId="0" applyFont="1" applyFill="1" applyBorder="1" applyAlignment="1">
      <alignment horizontal="left" vertical="top" wrapText="1"/>
    </xf>
    <xf numFmtId="0" fontId="4" fillId="0" borderId="1" xfId="0" applyFont="1" applyFill="1" applyBorder="1" applyAlignment="1">
      <alignment horizontal="right" vertical="top" wrapText="1"/>
    </xf>
    <xf numFmtId="0" fontId="5" fillId="0" borderId="0" xfId="0" applyFont="1" applyFill="1" applyAlignment="1">
      <alignment horizontal="center" wrapText="1"/>
    </xf>
    <xf numFmtId="0" fontId="4" fillId="0" borderId="0" xfId="0" applyFont="1" applyFill="1" applyAlignment="1"/>
    <xf numFmtId="176" fontId="4" fillId="0" borderId="1" xfId="0" applyNumberFormat="1" applyFont="1" applyFill="1" applyBorder="1" applyAlignment="1">
      <alignment wrapText="1"/>
    </xf>
    <xf numFmtId="0" fontId="4" fillId="0" borderId="1" xfId="0" applyFont="1" applyFill="1" applyBorder="1" applyAlignment="1">
      <alignment horizontal="center" vertical="top" wrapText="1"/>
    </xf>
    <xf numFmtId="0" fontId="4" fillId="0" borderId="1" xfId="0" applyFont="1" applyFill="1" applyBorder="1" applyAlignment="1">
      <alignment vertical="top" wrapText="1"/>
    </xf>
    <xf numFmtId="0" fontId="5" fillId="0" borderId="1" xfId="0" applyFont="1" applyFill="1" applyBorder="1" applyAlignment="1"/>
    <xf numFmtId="3" fontId="4" fillId="0" borderId="1" xfId="0" applyNumberFormat="1" applyFont="1" applyFill="1" applyBorder="1" applyAlignment="1">
      <alignment wrapText="1"/>
    </xf>
    <xf numFmtId="10" fontId="5" fillId="0" borderId="1" xfId="0" applyNumberFormat="1" applyFont="1" applyFill="1" applyBorder="1" applyAlignment="1"/>
    <xf numFmtId="0" fontId="6" fillId="0" borderId="0" xfId="0" applyFont="1" applyFill="1" applyAlignment="1">
      <alignment horizontal="center" vertical="center" wrapText="1"/>
    </xf>
    <xf numFmtId="0" fontId="4" fillId="0" borderId="0" xfId="0" applyFont="1" applyFill="1" applyAlignment="1">
      <alignment horizontal="center" vertical="center" wrapText="1"/>
    </xf>
    <xf numFmtId="177" fontId="5" fillId="0" borderId="1" xfId="0" applyNumberFormat="1" applyFont="1" applyFill="1" applyBorder="1" applyAlignment="1">
      <alignment horizontal="right" vertical="top" wrapText="1"/>
    </xf>
    <xf numFmtId="177" fontId="4" fillId="0" borderId="1" xfId="0" applyNumberFormat="1" applyFont="1" applyFill="1" applyBorder="1" applyAlignment="1">
      <alignment horizontal="right" vertical="top" wrapText="1"/>
    </xf>
    <xf numFmtId="0" fontId="4" fillId="0" borderId="0" xfId="0" applyFont="1" applyFill="1" applyBorder="1" applyAlignment="1">
      <alignment horizontal="right" vertical="center"/>
    </xf>
    <xf numFmtId="0" fontId="5" fillId="0" borderId="0" xfId="0" applyFont="1" applyFill="1" applyBorder="1" applyAlignment="1"/>
    <xf numFmtId="0" fontId="4" fillId="0" borderId="0" xfId="0" applyFont="1" applyFill="1" applyAlignment="1">
      <alignment horizontal="center" wrapText="1"/>
    </xf>
    <xf numFmtId="0" fontId="4" fillId="0" borderId="0" xfId="0" applyFont="1" applyFill="1" applyAlignment="1">
      <alignment wrapText="1"/>
    </xf>
    <xf numFmtId="0" fontId="5" fillId="0" borderId="0" xfId="0" applyFont="1" applyFill="1" applyBorder="1" applyAlignment="1">
      <alignment wrapText="1" readingOrder="1"/>
    </xf>
    <xf numFmtId="176" fontId="5" fillId="0" borderId="1" xfId="0" applyNumberFormat="1" applyFont="1" applyFill="1" applyBorder="1" applyAlignment="1"/>
    <xf numFmtId="0" fontId="5" fillId="0" borderId="0" xfId="0" applyFont="1" applyFill="1" applyBorder="1" applyAlignment="1">
      <alignment horizontal="right" wrapText="1" readingOrder="1"/>
    </xf>
    <xf numFmtId="0" fontId="5" fillId="0" borderId="2" xfId="0" applyFont="1" applyFill="1" applyBorder="1" applyAlignment="1"/>
    <xf numFmtId="0" fontId="4" fillId="0" borderId="1" xfId="0" applyFont="1" applyFill="1" applyBorder="1" applyAlignment="1"/>
    <xf numFmtId="177" fontId="5" fillId="0" borderId="2" xfId="0" applyNumberFormat="1" applyFont="1" applyFill="1" applyBorder="1" applyAlignment="1"/>
    <xf numFmtId="176" fontId="5" fillId="2" borderId="1" xfId="0" applyNumberFormat="1" applyFont="1" applyFill="1" applyBorder="1" applyAlignment="1"/>
    <xf numFmtId="0" fontId="5" fillId="2" borderId="0" xfId="0" applyFont="1" applyFill="1" applyBorder="1" applyAlignment="1"/>
    <xf numFmtId="0" fontId="4" fillId="0" borderId="0" xfId="0" applyFont="1"/>
    <xf numFmtId="0" fontId="7" fillId="0" borderId="0" xfId="0" applyFont="1" applyFill="1" applyAlignment="1"/>
    <xf numFmtId="0" fontId="8" fillId="0" borderId="0" xfId="0" applyFont="1"/>
    <xf numFmtId="0" fontId="1" fillId="0" borderId="1" xfId="0" applyFont="1" applyBorder="1"/>
    <xf numFmtId="0" fontId="9" fillId="0" borderId="0" xfId="0" applyFont="1" applyAlignment="1">
      <alignment wrapText="1"/>
    </xf>
    <xf numFmtId="0" fontId="10" fillId="0" borderId="0" xfId="0" applyFont="1" applyAlignment="1">
      <alignment horizontal="left" wrapText="1" indent="1"/>
    </xf>
    <xf numFmtId="0" fontId="11" fillId="0" borderId="0" xfId="0" applyFont="1"/>
    <xf numFmtId="178" fontId="1" fillId="0" borderId="1" xfId="0" applyNumberFormat="1" applyFont="1" applyBorder="1"/>
    <xf numFmtId="179" fontId="1" fillId="0" borderId="1" xfId="0" applyNumberFormat="1" applyFont="1" applyBorder="1"/>
    <xf numFmtId="2" fontId="1" fillId="0" borderId="1" xfId="0" applyNumberFormat="1" applyFont="1" applyBorder="1"/>
    <xf numFmtId="179" fontId="1" fillId="0" borderId="0" xfId="0" applyNumberFormat="1" applyFont="1"/>
    <xf numFmtId="0" fontId="7" fillId="0" borderId="0" xfId="0" applyFont="1"/>
    <xf numFmtId="0" fontId="12" fillId="0" borderId="0" xfId="0" applyFont="1"/>
    <xf numFmtId="0" fontId="9" fillId="0" borderId="0" xfId="0" applyFont="1" applyAlignment="1">
      <alignment horizontal="left" wrapText="1" indent="1"/>
    </xf>
    <xf numFmtId="0" fontId="13" fillId="0" borderId="0" xfId="0" applyFont="1" applyAlignment="1">
      <alignment horizontal="left" wrapText="1" indent="1"/>
    </xf>
    <xf numFmtId="0" fontId="9" fillId="0" borderId="0" xfId="0" applyFont="1"/>
    <xf numFmtId="0" fontId="14" fillId="0" borderId="0" xfId="0" applyFont="1"/>
    <xf numFmtId="9" fontId="1" fillId="0" borderId="1" xfId="0" applyNumberFormat="1" applyFont="1" applyBorder="1"/>
    <xf numFmtId="10" fontId="1" fillId="0" borderId="1" xfId="0" applyNumberFormat="1" applyFont="1" applyBorder="1"/>
    <xf numFmtId="0" fontId="15" fillId="0" borderId="1" xfId="0" applyFont="1" applyBorder="1"/>
    <xf numFmtId="0" fontId="12" fillId="0" borderId="0" xfId="0" applyFont="1" applyAlignment="1">
      <alignment wrapText="1"/>
    </xf>
    <xf numFmtId="0" fontId="16" fillId="0" borderId="0" xfId="0" applyFont="1"/>
    <xf numFmtId="0" fontId="13" fillId="0" borderId="0" xfId="0" applyFont="1" applyAlignment="1">
      <alignment wrapText="1"/>
    </xf>
    <xf numFmtId="0" fontId="17" fillId="0" borderId="0" xfId="0" applyFont="1"/>
    <xf numFmtId="0" fontId="1" fillId="0" borderId="1" xfId="0" applyNumberFormat="1" applyFont="1" applyBorder="1"/>
    <xf numFmtId="0" fontId="10" fillId="0" borderId="0" xfId="0" applyFont="1" applyAlignment="1">
      <alignment horizontal="left" wrapText="1" indent="2"/>
    </xf>
    <xf numFmtId="49" fontId="1" fillId="0" borderId="1" xfId="0" applyNumberFormat="1" applyFont="1" applyBorder="1"/>
    <xf numFmtId="0" fontId="10" fillId="0" borderId="0" xfId="0" applyFont="1"/>
    <xf numFmtId="9" fontId="1" fillId="0" borderId="1" xfId="3" applyNumberFormat="1" applyFont="1" applyFill="1" applyBorder="1" applyAlignment="1" applyProtection="1"/>
    <xf numFmtId="10" fontId="1" fillId="0" borderId="1" xfId="0" applyNumberFormat="1" applyFont="1" applyFill="1" applyBorder="1" applyAlignment="1" applyProtection="1"/>
    <xf numFmtId="10" fontId="1" fillId="0" borderId="1" xfId="3" applyNumberFormat="1" applyFont="1" applyFill="1" applyBorder="1" applyAlignment="1" applyProtection="1"/>
    <xf numFmtId="0" fontId="18" fillId="0" borderId="0" xfId="0" applyFont="1" applyFill="1" applyAlignment="1"/>
    <xf numFmtId="0" fontId="18" fillId="0" borderId="1" xfId="0" applyFont="1" applyFill="1" applyBorder="1" applyAlignment="1"/>
    <xf numFmtId="0" fontId="19" fillId="0" borderId="1" xfId="0" applyFont="1" applyFill="1" applyBorder="1" applyAlignment="1"/>
    <xf numFmtId="0" fontId="20" fillId="0" borderId="1" xfId="0" applyFont="1" applyFill="1" applyBorder="1" applyAlignment="1"/>
    <xf numFmtId="0" fontId="20" fillId="0" borderId="0" xfId="0" applyFont="1" applyFill="1" applyBorder="1" applyAlignment="1"/>
    <xf numFmtId="10" fontId="18" fillId="0" borderId="1" xfId="0" applyNumberFormat="1" applyFont="1" applyFill="1" applyBorder="1" applyAlignment="1"/>
    <xf numFmtId="180" fontId="18" fillId="0" borderId="1" xfId="0" applyNumberFormat="1" applyFont="1" applyFill="1" applyBorder="1" applyAlignment="1"/>
    <xf numFmtId="2" fontId="18" fillId="0" borderId="1" xfId="0" applyNumberFormat="1" applyFont="1" applyFill="1" applyBorder="1" applyAlignment="1"/>
    <xf numFmtId="0" fontId="20" fillId="0" borderId="0" xfId="0" applyFont="1" applyFill="1" applyAlignment="1"/>
    <xf numFmtId="1" fontId="18" fillId="0" borderId="1" xfId="0" applyNumberFormat="1" applyFont="1" applyFill="1" applyBorder="1" applyAlignment="1"/>
    <xf numFmtId="3" fontId="18" fillId="0" borderId="1" xfId="0" applyNumberFormat="1" applyFont="1" applyFill="1" applyBorder="1" applyAlignment="1"/>
    <xf numFmtId="0" fontId="21" fillId="0" borderId="0" xfId="0" applyFont="1" applyFill="1" applyAlignment="1">
      <alignment horizontal="center" vertical="center" wrapText="1"/>
    </xf>
    <xf numFmtId="0" fontId="18" fillId="0" borderId="0" xfId="0" applyFont="1" applyFill="1" applyAlignment="1">
      <alignment horizontal="center" vertical="center" wrapText="1"/>
    </xf>
    <xf numFmtId="3" fontId="20" fillId="0" borderId="1" xfId="0" applyNumberFormat="1" applyFont="1" applyFill="1" applyBorder="1" applyAlignment="1"/>
    <xf numFmtId="0" fontId="18" fillId="0" borderId="0" xfId="0" applyFont="1" applyFill="1" applyBorder="1" applyAlignment="1"/>
    <xf numFmtId="0" fontId="22" fillId="0" borderId="0" xfId="0" applyFont="1" applyAlignment="1">
      <alignment horizontal="center" vertical="center" wrapText="1"/>
    </xf>
    <xf numFmtId="0" fontId="23" fillId="0" borderId="0" xfId="0" applyFont="1" applyAlignment="1">
      <alignment horizontal="center" vertical="center" wrapText="1"/>
    </xf>
    <xf numFmtId="3" fontId="4" fillId="0" borderId="1" xfId="0" applyNumberFormat="1" applyFont="1" applyFill="1" applyBorder="1" applyAlignment="1"/>
    <xf numFmtId="0" fontId="4" fillId="0" borderId="1" xfId="0" applyNumberFormat="1" applyFont="1" applyFill="1" applyBorder="1" applyAlignme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Стандартная">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I49"/>
  <sheetViews>
    <sheetView zoomScale="69" zoomScaleNormal="69" workbookViewId="0">
      <selection activeCell="D29" sqref="D29"/>
    </sheetView>
  </sheetViews>
  <sheetFormatPr defaultColWidth="11" defaultRowHeight="20.4"/>
  <cols>
    <col min="1" max="1" width="9.33125" style="12" customWidth="1"/>
    <col min="2" max="2" width="24.85625" style="12" customWidth="1"/>
    <col min="3" max="16384" width="11" style="12"/>
  </cols>
  <sheetData>
    <row r="2" spans="2:3">
      <c r="B2" s="12" t="s">
        <v>0</v>
      </c>
      <c r="C2" s="12" t="s">
        <v>1</v>
      </c>
    </row>
    <row r="5" spans="2:9">
      <c r="B5" s="28"/>
      <c r="C5" s="28"/>
      <c r="D5" s="28">
        <v>2020</v>
      </c>
      <c r="E5" s="28">
        <v>2021</v>
      </c>
      <c r="F5" s="28">
        <v>2022</v>
      </c>
      <c r="G5" s="28">
        <v>2023</v>
      </c>
      <c r="H5" s="28">
        <v>2024</v>
      </c>
      <c r="I5" s="28">
        <v>2025</v>
      </c>
    </row>
    <row r="6" spans="2:9">
      <c r="B6" s="43" t="s">
        <v>2</v>
      </c>
      <c r="C6" s="43" t="s">
        <v>3</v>
      </c>
      <c r="D6" s="43">
        <v>69.342</v>
      </c>
      <c r="E6" s="43">
        <v>66.532</v>
      </c>
      <c r="F6" s="43">
        <v>56.246</v>
      </c>
      <c r="G6" s="28">
        <v>73.181</v>
      </c>
      <c r="H6" s="43">
        <v>81.126</v>
      </c>
      <c r="I6" s="95">
        <v>95472</v>
      </c>
    </row>
    <row r="7" spans="2:9">
      <c r="B7" s="43" t="s">
        <v>4</v>
      </c>
      <c r="C7" s="43" t="s">
        <v>3</v>
      </c>
      <c r="D7" s="43">
        <v>57.777</v>
      </c>
      <c r="E7" s="43">
        <v>54.614</v>
      </c>
      <c r="F7" s="43">
        <v>43.974</v>
      </c>
      <c r="G7" s="28">
        <v>49.613</v>
      </c>
      <c r="H7" s="43">
        <v>44.218</v>
      </c>
      <c r="I7" s="95">
        <v>48543</v>
      </c>
    </row>
    <row r="8" spans="2:9">
      <c r="B8" s="43" t="s">
        <v>5</v>
      </c>
      <c r="C8" s="43" t="s">
        <v>3</v>
      </c>
      <c r="D8" s="43">
        <v>11.565</v>
      </c>
      <c r="E8" s="43">
        <v>11.918</v>
      </c>
      <c r="F8" s="43">
        <v>12.272</v>
      </c>
      <c r="G8" s="28">
        <v>23.568</v>
      </c>
      <c r="H8" s="43">
        <v>36.908</v>
      </c>
      <c r="I8" s="95">
        <v>46929</v>
      </c>
    </row>
    <row r="9" spans="2:9">
      <c r="B9" s="43" t="s">
        <v>6</v>
      </c>
      <c r="C9" s="43" t="s">
        <v>3</v>
      </c>
      <c r="D9" s="43">
        <v>2.028</v>
      </c>
      <c r="E9" s="43">
        <v>1.969</v>
      </c>
      <c r="F9" s="43">
        <v>875</v>
      </c>
      <c r="G9" s="28">
        <v>1.534</v>
      </c>
      <c r="H9" s="43">
        <v>2.373</v>
      </c>
      <c r="I9" s="95">
        <v>4019</v>
      </c>
    </row>
    <row r="10" spans="2:9">
      <c r="B10" s="43" t="s">
        <v>7</v>
      </c>
      <c r="C10" s="43" t="s">
        <v>3</v>
      </c>
      <c r="D10" s="43">
        <v>776</v>
      </c>
      <c r="E10" s="43">
        <v>962</v>
      </c>
      <c r="F10" s="43">
        <v>6.485</v>
      </c>
      <c r="G10" s="28">
        <v>3.078</v>
      </c>
      <c r="H10" s="43">
        <v>2.604</v>
      </c>
      <c r="I10" s="43">
        <v>288</v>
      </c>
    </row>
    <row r="11" spans="2:9">
      <c r="B11" s="43" t="s">
        <v>8</v>
      </c>
      <c r="C11" s="43" t="s">
        <v>3</v>
      </c>
      <c r="D11" s="43">
        <v>1.201</v>
      </c>
      <c r="E11" s="43">
        <v>332</v>
      </c>
      <c r="F11" s="43">
        <v>175</v>
      </c>
      <c r="G11" s="28">
        <v>685</v>
      </c>
      <c r="H11" s="43">
        <v>700</v>
      </c>
      <c r="I11" s="43">
        <v>76</v>
      </c>
    </row>
    <row r="12" spans="2:9">
      <c r="B12" s="43" t="s">
        <v>9</v>
      </c>
      <c r="C12" s="43" t="s">
        <v>3</v>
      </c>
      <c r="D12" s="43">
        <v>674</v>
      </c>
      <c r="E12" s="43">
        <v>662</v>
      </c>
      <c r="F12" s="43">
        <v>349</v>
      </c>
      <c r="G12" s="28">
        <v>449</v>
      </c>
      <c r="H12" s="43">
        <v>1.227</v>
      </c>
      <c r="I12" s="95">
        <v>2959</v>
      </c>
    </row>
    <row r="13" spans="2:9">
      <c r="B13" s="43" t="s">
        <v>10</v>
      </c>
      <c r="C13" s="43" t="s">
        <v>3</v>
      </c>
      <c r="D13" s="43">
        <v>947</v>
      </c>
      <c r="E13" s="43">
        <v>1.325</v>
      </c>
      <c r="F13" s="43">
        <v>1.147</v>
      </c>
      <c r="G13" s="28">
        <v>2.435</v>
      </c>
      <c r="H13" s="43">
        <v>5.073</v>
      </c>
      <c r="I13" s="95">
        <v>6043</v>
      </c>
    </row>
    <row r="14" spans="2:9">
      <c r="B14" s="43" t="s">
        <v>11</v>
      </c>
      <c r="C14" s="43" t="s">
        <v>3</v>
      </c>
      <c r="D14" s="43">
        <v>761</v>
      </c>
      <c r="E14" s="43">
        <v>1.003</v>
      </c>
      <c r="F14" s="43">
        <v>1.256</v>
      </c>
      <c r="G14" s="28">
        <v>1.709</v>
      </c>
      <c r="H14" s="43">
        <v>2.943</v>
      </c>
      <c r="I14" s="95">
        <v>4147</v>
      </c>
    </row>
    <row r="15" spans="2:9">
      <c r="B15" s="43" t="s">
        <v>12</v>
      </c>
      <c r="C15" s="43" t="s">
        <v>3</v>
      </c>
      <c r="D15" s="43">
        <v>3.838</v>
      </c>
      <c r="E15" s="43">
        <v>4.022</v>
      </c>
      <c r="F15" s="43">
        <v>13.363</v>
      </c>
      <c r="G15" s="28">
        <v>13.767</v>
      </c>
      <c r="H15" s="43">
        <v>10.694</v>
      </c>
      <c r="I15" s="95">
        <v>13134</v>
      </c>
    </row>
    <row r="16" spans="2:9">
      <c r="B16" s="43" t="s">
        <v>13</v>
      </c>
      <c r="C16" s="43" t="s">
        <v>3</v>
      </c>
      <c r="D16" s="43">
        <v>11.454</v>
      </c>
      <c r="E16" s="43">
        <v>10.559</v>
      </c>
      <c r="F16" s="43">
        <v>14.972</v>
      </c>
      <c r="G16" s="28">
        <v>21.824</v>
      </c>
      <c r="H16" s="43">
        <v>24.085</v>
      </c>
      <c r="I16" s="95">
        <v>27943</v>
      </c>
    </row>
    <row r="17" spans="2:9">
      <c r="B17" s="43" t="s">
        <v>14</v>
      </c>
      <c r="C17" s="43" t="s">
        <v>3</v>
      </c>
      <c r="D17" s="43">
        <v>8.419</v>
      </c>
      <c r="E17" s="43">
        <v>9.678</v>
      </c>
      <c r="F17" s="43">
        <v>8.411</v>
      </c>
      <c r="G17" s="28">
        <v>15.945</v>
      </c>
      <c r="H17" s="43">
        <v>25.689</v>
      </c>
      <c r="I17" s="95">
        <v>33604</v>
      </c>
    </row>
    <row r="18" spans="2:9">
      <c r="B18" s="43" t="s">
        <v>15</v>
      </c>
      <c r="C18" s="43" t="s">
        <v>3</v>
      </c>
      <c r="D18" s="43">
        <v>3.113</v>
      </c>
      <c r="E18" s="43">
        <v>2.672</v>
      </c>
      <c r="F18" s="43">
        <v>3.645</v>
      </c>
      <c r="G18" s="28">
        <v>6.05</v>
      </c>
      <c r="H18" s="43">
        <v>9.941</v>
      </c>
      <c r="I18" s="95">
        <v>11585</v>
      </c>
    </row>
    <row r="19" spans="2:9">
      <c r="B19" s="43" t="s">
        <v>16</v>
      </c>
      <c r="C19" s="43" t="s">
        <v>3</v>
      </c>
      <c r="D19" s="43">
        <v>15.092</v>
      </c>
      <c r="E19" s="43">
        <v>15.646</v>
      </c>
      <c r="F19" s="43">
        <v>13.855</v>
      </c>
      <c r="G19" s="28">
        <v>27.957</v>
      </c>
      <c r="H19" s="43">
        <v>29.196</v>
      </c>
      <c r="I19" s="95">
        <v>36148</v>
      </c>
    </row>
    <row r="20" spans="2:9">
      <c r="B20" s="43" t="s">
        <v>17</v>
      </c>
      <c r="C20" s="43" t="s">
        <v>3</v>
      </c>
      <c r="D20" s="43">
        <v>377</v>
      </c>
      <c r="E20" s="43">
        <v>760</v>
      </c>
      <c r="F20" s="43">
        <v>1.119</v>
      </c>
      <c r="G20" s="28">
        <v>2.05</v>
      </c>
      <c r="H20" s="43">
        <v>5.564</v>
      </c>
      <c r="I20" s="95">
        <v>6660</v>
      </c>
    </row>
    <row r="21" spans="2:9">
      <c r="B21" s="43" t="s">
        <v>18</v>
      </c>
      <c r="C21" s="43" t="s">
        <v>3</v>
      </c>
      <c r="D21" s="43">
        <v>4.383</v>
      </c>
      <c r="E21" s="43">
        <v>1.765</v>
      </c>
      <c r="F21" s="43">
        <v>9.795</v>
      </c>
      <c r="G21" s="28">
        <v>8.516</v>
      </c>
      <c r="H21" s="43">
        <v>22.287</v>
      </c>
      <c r="I21" s="95">
        <v>29544</v>
      </c>
    </row>
    <row r="22" spans="1:9">
      <c r="A22" s="24"/>
      <c r="B22" s="43" t="s">
        <v>19</v>
      </c>
      <c r="C22" s="43" t="s">
        <v>3</v>
      </c>
      <c r="D22" s="43">
        <v>794</v>
      </c>
      <c r="E22" s="43">
        <v>1.329</v>
      </c>
      <c r="F22" s="43">
        <v>1.481</v>
      </c>
      <c r="G22" s="28">
        <v>2.422</v>
      </c>
      <c r="H22" s="43">
        <v>4.384</v>
      </c>
      <c r="I22" s="95">
        <v>1181</v>
      </c>
    </row>
    <row r="23" spans="1:9">
      <c r="A23" s="24"/>
      <c r="B23" s="43" t="s">
        <v>20</v>
      </c>
      <c r="C23" s="43" t="s">
        <v>3</v>
      </c>
      <c r="D23" s="43">
        <v>2.808</v>
      </c>
      <c r="E23" s="43">
        <v>3.328</v>
      </c>
      <c r="F23" s="43">
        <v>2.931</v>
      </c>
      <c r="G23" s="28">
        <v>7.531</v>
      </c>
      <c r="H23" s="43">
        <v>-3.251</v>
      </c>
      <c r="I23" s="96">
        <v>-1.534</v>
      </c>
    </row>
    <row r="24" spans="1:4">
      <c r="A24" s="24"/>
      <c r="B24" s="24"/>
      <c r="C24" s="24"/>
      <c r="D24" s="24"/>
    </row>
    <row r="25" spans="1:4">
      <c r="A25" s="24"/>
      <c r="B25" s="24"/>
      <c r="C25" s="24"/>
      <c r="D25" s="24"/>
    </row>
    <row r="26" spans="1:6">
      <c r="A26" s="24"/>
      <c r="B26" s="24"/>
      <c r="C26" s="24"/>
      <c r="D26" s="24"/>
      <c r="E26" s="24"/>
      <c r="F26" s="24"/>
    </row>
    <row r="27" spans="1:6">
      <c r="A27" s="24"/>
      <c r="B27" s="24"/>
      <c r="C27" s="24"/>
      <c r="D27" s="24"/>
      <c r="E27" s="24"/>
      <c r="F27" s="24"/>
    </row>
    <row r="28" spans="1:6">
      <c r="A28" s="24"/>
      <c r="B28" s="24"/>
      <c r="C28" s="24"/>
      <c r="D28" s="24"/>
      <c r="E28" s="24"/>
      <c r="F28" s="24"/>
    </row>
    <row r="29" spans="1:6">
      <c r="A29" s="24"/>
      <c r="B29" s="24"/>
      <c r="C29" s="24"/>
      <c r="D29" s="24"/>
      <c r="E29" s="24"/>
      <c r="F29" s="24"/>
    </row>
    <row r="30" spans="1:6">
      <c r="A30" s="24"/>
      <c r="B30" s="24"/>
      <c r="C30" s="24"/>
      <c r="D30" s="24"/>
      <c r="E30" s="24"/>
      <c r="F30" s="24"/>
    </row>
    <row r="31" spans="1:6">
      <c r="A31" s="24"/>
      <c r="B31" s="24"/>
      <c r="C31" s="24"/>
      <c r="D31" s="24"/>
      <c r="E31" s="24"/>
      <c r="F31" s="24"/>
    </row>
    <row r="32" spans="1:6">
      <c r="A32" s="24"/>
      <c r="B32" s="24"/>
      <c r="C32" s="24"/>
      <c r="D32" s="24"/>
      <c r="E32" s="24"/>
      <c r="F32" s="24"/>
    </row>
    <row r="33" spans="1:6">
      <c r="A33" s="24"/>
      <c r="B33" s="24"/>
      <c r="C33" s="24"/>
      <c r="D33" s="24"/>
      <c r="E33" s="24"/>
      <c r="F33" s="24"/>
    </row>
    <row r="34" spans="1:6">
      <c r="A34" s="24"/>
      <c r="B34" s="24"/>
      <c r="C34" s="24"/>
      <c r="D34" s="24"/>
      <c r="E34" s="24"/>
      <c r="F34" s="24"/>
    </row>
    <row r="35" spans="1:6">
      <c r="A35" s="24"/>
      <c r="B35" s="24"/>
      <c r="C35" s="24"/>
      <c r="D35" s="24"/>
      <c r="E35" s="24"/>
      <c r="F35" s="24"/>
    </row>
    <row r="36" spans="1:6">
      <c r="A36" s="24"/>
      <c r="B36" s="24"/>
      <c r="C36" s="24"/>
      <c r="D36" s="24"/>
      <c r="E36" s="24"/>
      <c r="F36" s="24"/>
    </row>
    <row r="37" spans="1:6">
      <c r="A37" s="24"/>
      <c r="B37" s="24"/>
      <c r="C37" s="24"/>
      <c r="D37" s="24"/>
      <c r="E37" s="24"/>
      <c r="F37" s="24"/>
    </row>
    <row r="38" spans="1:6">
      <c r="A38" s="24"/>
      <c r="B38" s="24"/>
      <c r="C38" s="24"/>
      <c r="D38" s="24"/>
      <c r="E38" s="24"/>
      <c r="F38" s="24"/>
    </row>
    <row r="39" spans="1:6">
      <c r="A39" s="24"/>
      <c r="B39" s="24"/>
      <c r="C39" s="24"/>
      <c r="D39" s="24"/>
      <c r="E39" s="24"/>
      <c r="F39" s="24"/>
    </row>
    <row r="40" spans="1:6">
      <c r="A40" s="24"/>
      <c r="B40" s="24"/>
      <c r="C40" s="24"/>
      <c r="D40" s="24"/>
      <c r="E40" s="24"/>
      <c r="F40" s="24"/>
    </row>
    <row r="41" spans="1:6">
      <c r="A41" s="24"/>
      <c r="B41" s="24"/>
      <c r="C41" s="24"/>
      <c r="D41" s="24"/>
      <c r="E41" s="24"/>
      <c r="F41" s="24"/>
    </row>
    <row r="42" spans="1:6">
      <c r="A42" s="24"/>
      <c r="B42" s="24"/>
      <c r="C42" s="24"/>
      <c r="D42" s="24"/>
      <c r="E42" s="24"/>
      <c r="F42" s="24"/>
    </row>
    <row r="43" spans="1:6">
      <c r="A43" s="24"/>
      <c r="B43" s="24"/>
      <c r="C43" s="24"/>
      <c r="D43" s="24"/>
      <c r="E43" s="24"/>
      <c r="F43" s="24"/>
    </row>
    <row r="44" spans="1:6">
      <c r="A44" s="24"/>
      <c r="B44" s="24"/>
      <c r="C44" s="24"/>
      <c r="D44" s="24"/>
      <c r="E44" s="24"/>
      <c r="F44" s="24"/>
    </row>
    <row r="46" spans="2:2">
      <c r="B46" s="24"/>
    </row>
    <row r="48" spans="2:2">
      <c r="B48" s="24"/>
    </row>
    <row r="49" spans="2:2">
      <c r="B49" s="24"/>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R69"/>
  <sheetViews>
    <sheetView zoomScale="47" zoomScaleNormal="47" workbookViewId="0">
      <selection activeCell="F66" sqref="F66"/>
    </sheetView>
  </sheetViews>
  <sheetFormatPr defaultColWidth="11" defaultRowHeight="20.4"/>
  <cols>
    <col min="1" max="1" width="10.83125" style="78"/>
    <col min="2" max="2" width="25.1625" style="78" customWidth="1"/>
    <col min="3" max="8" width="11" style="78" customWidth="1"/>
    <col min="9" max="9" width="11.1625" style="78" customWidth="1"/>
    <col min="10" max="10" width="10.83125" style="78"/>
    <col min="11" max="11" width="14.44375" style="78" customWidth="1"/>
    <col min="12" max="12" width="49.80625" style="78" customWidth="1"/>
    <col min="13" max="16383" width="10.83125" style="78"/>
    <col min="16384" max="16384" width="11" style="78"/>
  </cols>
  <sheetData>
    <row r="2" spans="2:9">
      <c r="B2" s="79"/>
      <c r="C2" s="80"/>
      <c r="D2" s="80">
        <v>2020</v>
      </c>
      <c r="E2" s="80">
        <v>2021</v>
      </c>
      <c r="F2" s="80">
        <v>2022</v>
      </c>
      <c r="G2" s="80">
        <v>2023</v>
      </c>
      <c r="H2" s="80">
        <v>2024</v>
      </c>
      <c r="I2" s="80">
        <v>2025</v>
      </c>
    </row>
    <row r="3" spans="2:9">
      <c r="B3" s="81" t="s">
        <v>2</v>
      </c>
      <c r="C3" s="81" t="s">
        <v>3</v>
      </c>
      <c r="D3" s="81">
        <v>69342</v>
      </c>
      <c r="E3" s="81">
        <v>66532</v>
      </c>
      <c r="F3" s="81">
        <v>56246</v>
      </c>
      <c r="G3" s="79">
        <v>73181</v>
      </c>
      <c r="H3" s="81">
        <v>81126</v>
      </c>
      <c r="I3" s="91">
        <v>95472</v>
      </c>
    </row>
    <row r="4" spans="2:9">
      <c r="B4" s="81" t="s">
        <v>4</v>
      </c>
      <c r="C4" s="81" t="s">
        <v>3</v>
      </c>
      <c r="D4" s="81">
        <v>57777</v>
      </c>
      <c r="E4" s="81">
        <v>54614</v>
      </c>
      <c r="F4" s="81">
        <v>43974</v>
      </c>
      <c r="G4" s="79">
        <v>49613</v>
      </c>
      <c r="H4" s="81">
        <v>44218</v>
      </c>
      <c r="I4" s="91">
        <v>48543</v>
      </c>
    </row>
    <row r="5" spans="2:9">
      <c r="B5" s="81" t="s">
        <v>5</v>
      </c>
      <c r="C5" s="81" t="s">
        <v>3</v>
      </c>
      <c r="D5" s="81">
        <v>11565</v>
      </c>
      <c r="E5" s="81">
        <v>11918</v>
      </c>
      <c r="F5" s="81">
        <v>12272</v>
      </c>
      <c r="G5" s="79">
        <v>23568</v>
      </c>
      <c r="H5" s="81">
        <v>36908</v>
      </c>
      <c r="I5" s="91">
        <v>46929</v>
      </c>
    </row>
    <row r="6" spans="2:9">
      <c r="B6" s="81" t="s">
        <v>6</v>
      </c>
      <c r="C6" s="81" t="s">
        <v>3</v>
      </c>
      <c r="D6" s="81">
        <v>2028</v>
      </c>
      <c r="E6" s="81">
        <v>1969</v>
      </c>
      <c r="F6" s="81">
        <v>875</v>
      </c>
      <c r="G6" s="79">
        <v>1534</v>
      </c>
      <c r="H6" s="81">
        <v>2373</v>
      </c>
      <c r="I6" s="91">
        <v>4019</v>
      </c>
    </row>
    <row r="7" spans="2:9">
      <c r="B7" s="81" t="s">
        <v>7</v>
      </c>
      <c r="C7" s="81" t="s">
        <v>3</v>
      </c>
      <c r="D7" s="81">
        <v>776</v>
      </c>
      <c r="E7" s="81">
        <v>962</v>
      </c>
      <c r="F7" s="81">
        <v>6485</v>
      </c>
      <c r="G7" s="79">
        <v>3078</v>
      </c>
      <c r="H7" s="81">
        <v>2604</v>
      </c>
      <c r="I7" s="81">
        <v>288</v>
      </c>
    </row>
    <row r="8" spans="2:9">
      <c r="B8" s="81" t="s">
        <v>8</v>
      </c>
      <c r="C8" s="81" t="s">
        <v>3</v>
      </c>
      <c r="D8" s="81">
        <v>1201</v>
      </c>
      <c r="E8" s="81">
        <v>332</v>
      </c>
      <c r="F8" s="81">
        <v>175</v>
      </c>
      <c r="G8" s="79">
        <v>685</v>
      </c>
      <c r="H8" s="81">
        <v>700</v>
      </c>
      <c r="I8" s="81">
        <v>76</v>
      </c>
    </row>
    <row r="9" spans="2:9">
      <c r="B9" s="81" t="s">
        <v>9</v>
      </c>
      <c r="C9" s="81" t="s">
        <v>3</v>
      </c>
      <c r="D9" s="81">
        <v>674</v>
      </c>
      <c r="E9" s="81">
        <v>662</v>
      </c>
      <c r="F9" s="81">
        <v>349</v>
      </c>
      <c r="G9" s="79">
        <v>449</v>
      </c>
      <c r="H9" s="81">
        <v>1227</v>
      </c>
      <c r="I9" s="91">
        <v>2959</v>
      </c>
    </row>
    <row r="10" spans="2:9">
      <c r="B10" s="81" t="s">
        <v>10</v>
      </c>
      <c r="C10" s="81" t="s">
        <v>3</v>
      </c>
      <c r="D10" s="81">
        <v>947</v>
      </c>
      <c r="E10" s="81">
        <v>1325</v>
      </c>
      <c r="F10" s="81">
        <v>1147</v>
      </c>
      <c r="G10" s="79">
        <v>2435</v>
      </c>
      <c r="H10" s="81">
        <v>5073</v>
      </c>
      <c r="I10" s="91">
        <v>6043</v>
      </c>
    </row>
    <row r="11" spans="2:9">
      <c r="B11" s="81" t="s">
        <v>11</v>
      </c>
      <c r="C11" s="81" t="s">
        <v>3</v>
      </c>
      <c r="D11" s="81">
        <v>761</v>
      </c>
      <c r="E11" s="81">
        <v>1003</v>
      </c>
      <c r="F11" s="81">
        <v>1256</v>
      </c>
      <c r="G11" s="79">
        <v>1709</v>
      </c>
      <c r="H11" s="81">
        <v>2943</v>
      </c>
      <c r="I11" s="91">
        <v>4147</v>
      </c>
    </row>
    <row r="12" spans="2:9">
      <c r="B12" s="81" t="s">
        <v>12</v>
      </c>
      <c r="C12" s="81" t="s">
        <v>3</v>
      </c>
      <c r="D12" s="81">
        <v>3838</v>
      </c>
      <c r="E12" s="81">
        <v>4022</v>
      </c>
      <c r="F12" s="81">
        <v>13363</v>
      </c>
      <c r="G12" s="79">
        <v>13767</v>
      </c>
      <c r="H12" s="81">
        <v>10694</v>
      </c>
      <c r="I12" s="91">
        <v>13134</v>
      </c>
    </row>
    <row r="13" spans="2:9">
      <c r="B13" s="81" t="s">
        <v>13</v>
      </c>
      <c r="C13" s="81" t="s">
        <v>3</v>
      </c>
      <c r="D13" s="81">
        <v>11454</v>
      </c>
      <c r="E13" s="81">
        <v>10559</v>
      </c>
      <c r="F13" s="81">
        <v>14972</v>
      </c>
      <c r="G13" s="79">
        <v>21824</v>
      </c>
      <c r="H13" s="81">
        <v>24085</v>
      </c>
      <c r="I13" s="91">
        <v>27943</v>
      </c>
    </row>
    <row r="14" spans="2:9">
      <c r="B14" s="81" t="s">
        <v>14</v>
      </c>
      <c r="C14" s="81" t="s">
        <v>3</v>
      </c>
      <c r="D14" s="81">
        <v>8419</v>
      </c>
      <c r="E14" s="81">
        <v>9678</v>
      </c>
      <c r="F14" s="81">
        <v>8411</v>
      </c>
      <c r="G14" s="79">
        <v>15945</v>
      </c>
      <c r="H14" s="81">
        <v>25689</v>
      </c>
      <c r="I14" s="91">
        <v>33604</v>
      </c>
    </row>
    <row r="15" spans="2:9">
      <c r="B15" s="81" t="s">
        <v>15</v>
      </c>
      <c r="C15" s="81" t="s">
        <v>3</v>
      </c>
      <c r="D15" s="81">
        <v>3113</v>
      </c>
      <c r="E15" s="81">
        <v>2672</v>
      </c>
      <c r="F15" s="81">
        <v>3645</v>
      </c>
      <c r="G15" s="79">
        <v>6050</v>
      </c>
      <c r="H15" s="81">
        <v>9941</v>
      </c>
      <c r="I15" s="91">
        <v>11585</v>
      </c>
    </row>
    <row r="16" spans="2:9">
      <c r="B16" s="81" t="s">
        <v>16</v>
      </c>
      <c r="C16" s="81" t="s">
        <v>3</v>
      </c>
      <c r="D16" s="81">
        <v>15092</v>
      </c>
      <c r="E16" s="81">
        <v>15646</v>
      </c>
      <c r="F16" s="81">
        <v>13855</v>
      </c>
      <c r="G16" s="79">
        <v>27957</v>
      </c>
      <c r="H16" s="81">
        <v>29196</v>
      </c>
      <c r="I16" s="91">
        <v>36148</v>
      </c>
    </row>
    <row r="17" spans="2:9">
      <c r="B17" s="81" t="s">
        <v>17</v>
      </c>
      <c r="C17" s="81" t="s">
        <v>3</v>
      </c>
      <c r="D17" s="81">
        <v>377</v>
      </c>
      <c r="E17" s="81">
        <v>760</v>
      </c>
      <c r="F17" s="81">
        <v>1119</v>
      </c>
      <c r="G17" s="79">
        <v>2050</v>
      </c>
      <c r="H17" s="81">
        <v>5564</v>
      </c>
      <c r="I17" s="91">
        <v>6660</v>
      </c>
    </row>
    <row r="18" spans="2:9">
      <c r="B18" s="81" t="s">
        <v>18</v>
      </c>
      <c r="C18" s="81" t="s">
        <v>3</v>
      </c>
      <c r="D18" s="81">
        <v>4383</v>
      </c>
      <c r="E18" s="81">
        <v>1765</v>
      </c>
      <c r="F18" s="81">
        <v>9795</v>
      </c>
      <c r="G18" s="79">
        <v>8516</v>
      </c>
      <c r="H18" s="81">
        <v>22287</v>
      </c>
      <c r="I18" s="91">
        <v>29544</v>
      </c>
    </row>
    <row r="19" spans="2:9">
      <c r="B19" s="81" t="s">
        <v>19</v>
      </c>
      <c r="C19" s="81" t="s">
        <v>3</v>
      </c>
      <c r="D19" s="81">
        <v>794</v>
      </c>
      <c r="E19" s="81">
        <v>1329</v>
      </c>
      <c r="F19" s="81">
        <v>1481</v>
      </c>
      <c r="G19" s="79">
        <v>2422</v>
      </c>
      <c r="H19" s="81">
        <v>4384</v>
      </c>
      <c r="I19" s="91">
        <v>1181</v>
      </c>
    </row>
    <row r="20" spans="2:9">
      <c r="B20" s="81" t="s">
        <v>20</v>
      </c>
      <c r="C20" s="81" t="s">
        <v>3</v>
      </c>
      <c r="D20" s="81">
        <v>2808</v>
      </c>
      <c r="E20" s="81">
        <v>3328</v>
      </c>
      <c r="F20" s="81">
        <v>2931</v>
      </c>
      <c r="G20" s="79">
        <v>7531</v>
      </c>
      <c r="H20" s="81">
        <v>-3251</v>
      </c>
      <c r="I20" s="91">
        <v>-1534</v>
      </c>
    </row>
    <row r="23" spans="2:2">
      <c r="B23" s="82" t="s">
        <v>21</v>
      </c>
    </row>
    <row r="26" spans="2:18">
      <c r="B26" s="79"/>
      <c r="C26" s="79"/>
      <c r="D26" s="79">
        <v>2020</v>
      </c>
      <c r="E26" s="79">
        <v>2021</v>
      </c>
      <c r="F26" s="79">
        <v>2022</v>
      </c>
      <c r="G26" s="79">
        <v>2023</v>
      </c>
      <c r="H26" s="79">
        <v>2024</v>
      </c>
      <c r="I26" s="79">
        <v>2025</v>
      </c>
      <c r="K26" s="92" t="s">
        <v>22</v>
      </c>
      <c r="L26" s="78" t="s">
        <v>23</v>
      </c>
      <c r="M26" s="93" t="s">
        <v>24</v>
      </c>
      <c r="N26" s="93"/>
      <c r="O26" s="93"/>
      <c r="P26" s="93"/>
      <c r="Q26" s="93"/>
      <c r="R26" s="93"/>
    </row>
    <row r="27" spans="2:18">
      <c r="B27" s="81" t="s">
        <v>22</v>
      </c>
      <c r="C27" s="83" t="s">
        <v>25</v>
      </c>
      <c r="D27" s="83" t="s">
        <v>26</v>
      </c>
      <c r="E27" s="84">
        <f>(E3-D3)/D3</f>
        <v>-0.040523780681261</v>
      </c>
      <c r="F27" s="84">
        <f>(F3-E3)/E3</f>
        <v>-0.154602296639211</v>
      </c>
      <c r="G27" s="84">
        <f>(G3-F3)/F3</f>
        <v>0.301088077374391</v>
      </c>
      <c r="H27" s="84">
        <f>(H3-G3)/G3</f>
        <v>0.108566431177491</v>
      </c>
      <c r="I27" s="84">
        <f>(I3-H3)/H3</f>
        <v>0.176836032837808</v>
      </c>
      <c r="K27" s="82" t="s">
        <v>27</v>
      </c>
      <c r="L27" s="24" t="s">
        <v>28</v>
      </c>
      <c r="M27" s="93"/>
      <c r="N27" s="93"/>
      <c r="O27" s="93"/>
      <c r="P27" s="93"/>
      <c r="Q27" s="93"/>
      <c r="R27" s="93"/>
    </row>
    <row r="28" spans="2:18">
      <c r="B28" s="81" t="s">
        <v>27</v>
      </c>
      <c r="C28" s="84" t="s">
        <v>25</v>
      </c>
      <c r="D28" s="84">
        <f t="shared" ref="D28:I28" si="0">D5/D3</f>
        <v>0.166782036860777</v>
      </c>
      <c r="E28" s="84">
        <f t="shared" si="0"/>
        <v>0.179131846329586</v>
      </c>
      <c r="F28" s="84">
        <f t="shared" si="0"/>
        <v>0.2181844042243</v>
      </c>
      <c r="G28" s="84">
        <f t="shared" si="0"/>
        <v>0.322050805536956</v>
      </c>
      <c r="H28" s="84">
        <f t="shared" si="0"/>
        <v>0.454946626235732</v>
      </c>
      <c r="I28" s="84">
        <f t="shared" si="0"/>
        <v>0.491547259929613</v>
      </c>
      <c r="K28" s="82" t="s">
        <v>29</v>
      </c>
      <c r="L28" s="24" t="s">
        <v>30</v>
      </c>
      <c r="M28" s="93"/>
      <c r="N28" s="93"/>
      <c r="O28" s="93"/>
      <c r="P28" s="93"/>
      <c r="Q28" s="93"/>
      <c r="R28" s="93"/>
    </row>
    <row r="29" spans="2:18">
      <c r="B29" s="81" t="s">
        <v>29</v>
      </c>
      <c r="C29" s="84" t="s">
        <v>25</v>
      </c>
      <c r="D29" s="84">
        <f t="shared" ref="D29:I29" si="1">D6/D3</f>
        <v>0.0292463442069741</v>
      </c>
      <c r="E29" s="84">
        <f t="shared" si="1"/>
        <v>0.0295947814585463</v>
      </c>
      <c r="F29" s="84">
        <f t="shared" si="1"/>
        <v>0.0155566618070618</v>
      </c>
      <c r="G29" s="84">
        <f t="shared" si="1"/>
        <v>0.0209617250379197</v>
      </c>
      <c r="H29" s="84">
        <f t="shared" si="1"/>
        <v>0.029250795059537</v>
      </c>
      <c r="I29" s="84">
        <f t="shared" si="1"/>
        <v>0.0420961119490531</v>
      </c>
      <c r="K29" s="82" t="s">
        <v>31</v>
      </c>
      <c r="L29" s="78" t="s">
        <v>32</v>
      </c>
      <c r="M29" s="93"/>
      <c r="N29" s="93"/>
      <c r="O29" s="93"/>
      <c r="P29" s="93"/>
      <c r="Q29" s="93"/>
      <c r="R29" s="93"/>
    </row>
    <row r="30" spans="2:18">
      <c r="B30" s="81" t="s">
        <v>31</v>
      </c>
      <c r="C30" s="84" t="s">
        <v>25</v>
      </c>
      <c r="D30" s="84">
        <f t="shared" ref="D30:I30" si="2">D7/D3</f>
        <v>0.0111909088287041</v>
      </c>
      <c r="E30" s="84">
        <f t="shared" si="2"/>
        <v>0.0144592075993507</v>
      </c>
      <c r="F30" s="84">
        <f t="shared" si="2"/>
        <v>0.11529708779291</v>
      </c>
      <c r="G30" s="84">
        <f t="shared" si="2"/>
        <v>0.0420600975663082</v>
      </c>
      <c r="H30" s="84">
        <f t="shared" si="2"/>
        <v>0.0320982175874565</v>
      </c>
      <c r="I30" s="84">
        <f t="shared" si="2"/>
        <v>0.00301659125188537</v>
      </c>
      <c r="M30" s="93"/>
      <c r="N30" s="93"/>
      <c r="O30" s="93"/>
      <c r="P30" s="93"/>
      <c r="Q30" s="93"/>
      <c r="R30" s="93"/>
    </row>
    <row r="31" spans="13:18">
      <c r="M31" s="93"/>
      <c r="N31" s="93"/>
      <c r="O31" s="93"/>
      <c r="P31" s="93"/>
      <c r="Q31" s="93"/>
      <c r="R31" s="93"/>
    </row>
    <row r="32" spans="13:18">
      <c r="M32" s="93"/>
      <c r="N32" s="93"/>
      <c r="O32" s="93"/>
      <c r="P32" s="93"/>
      <c r="Q32" s="93"/>
      <c r="R32" s="93"/>
    </row>
    <row r="33" spans="13:18">
      <c r="M33" s="93"/>
      <c r="N33" s="93"/>
      <c r="O33" s="93"/>
      <c r="P33" s="93"/>
      <c r="Q33" s="93"/>
      <c r="R33" s="93"/>
    </row>
    <row r="34" spans="2:18">
      <c r="B34" s="82" t="s">
        <v>33</v>
      </c>
      <c r="M34" s="93"/>
      <c r="N34" s="93"/>
      <c r="O34" s="93"/>
      <c r="P34" s="93"/>
      <c r="Q34" s="93"/>
      <c r="R34" s="93"/>
    </row>
    <row r="36" ht="25" customHeight="1" spans="13:18">
      <c r="M36" s="94" t="s">
        <v>34</v>
      </c>
      <c r="N36" s="94"/>
      <c r="O36" s="94"/>
      <c r="P36" s="94"/>
      <c r="Q36" s="94"/>
      <c r="R36" s="94"/>
    </row>
    <row r="37" spans="2:18">
      <c r="B37" s="79"/>
      <c r="C37" s="79"/>
      <c r="D37" s="79">
        <v>2020</v>
      </c>
      <c r="E37" s="79">
        <v>2021</v>
      </c>
      <c r="F37" s="79">
        <v>2022</v>
      </c>
      <c r="G37" s="79">
        <v>2023</v>
      </c>
      <c r="H37" s="79">
        <v>2024</v>
      </c>
      <c r="I37" s="79">
        <v>2025</v>
      </c>
      <c r="M37" s="94"/>
      <c r="N37" s="94"/>
      <c r="O37" s="94"/>
      <c r="P37" s="94"/>
      <c r="Q37" s="94"/>
      <c r="R37" s="94"/>
    </row>
    <row r="38" spans="2:18">
      <c r="B38" s="81" t="s">
        <v>35</v>
      </c>
      <c r="C38" s="83" t="s">
        <v>25</v>
      </c>
      <c r="D38" s="83">
        <f t="shared" ref="D38:I38" si="3">D11/D3</f>
        <v>0.0109745897147472</v>
      </c>
      <c r="E38" s="83">
        <f t="shared" si="3"/>
        <v>0.015075452413876</v>
      </c>
      <c r="F38" s="83">
        <f t="shared" si="3"/>
        <v>0.0223304768339082</v>
      </c>
      <c r="G38" s="83">
        <f t="shared" si="3"/>
        <v>0.0233530561211243</v>
      </c>
      <c r="H38" s="83">
        <f t="shared" si="3"/>
        <v>0.0362769025959618</v>
      </c>
      <c r="I38" s="83">
        <f t="shared" si="3"/>
        <v>0.0434368191721133</v>
      </c>
      <c r="M38" s="94"/>
      <c r="N38" s="94"/>
      <c r="O38" s="94"/>
      <c r="P38" s="94"/>
      <c r="Q38" s="94"/>
      <c r="R38" s="94"/>
    </row>
    <row r="39" spans="2:18">
      <c r="B39" s="81" t="s">
        <v>36</v>
      </c>
      <c r="C39" s="83" t="s">
        <v>25</v>
      </c>
      <c r="D39" s="83">
        <f t="shared" ref="D39:I39" si="4">D19/D3</f>
        <v>0.0114504917654524</v>
      </c>
      <c r="E39" s="83">
        <f t="shared" si="4"/>
        <v>0.019975350207419</v>
      </c>
      <c r="F39" s="83">
        <f t="shared" si="4"/>
        <v>0.0263307612985812</v>
      </c>
      <c r="G39" s="83">
        <f t="shared" si="4"/>
        <v>0.0330960221915525</v>
      </c>
      <c r="H39" s="83">
        <f t="shared" si="4"/>
        <v>0.0540393955082218</v>
      </c>
      <c r="I39" s="83">
        <f t="shared" si="4"/>
        <v>0.012370118987766</v>
      </c>
      <c r="M39" s="94"/>
      <c r="N39" s="94"/>
      <c r="O39" s="94"/>
      <c r="P39" s="94"/>
      <c r="Q39" s="94"/>
      <c r="R39" s="94"/>
    </row>
    <row r="40" spans="2:18">
      <c r="B40" s="81" t="s">
        <v>37</v>
      </c>
      <c r="C40" s="85" t="s">
        <v>38</v>
      </c>
      <c r="D40" s="85">
        <f t="shared" ref="D40:I40" si="5">D19/D11</f>
        <v>1.04336399474376</v>
      </c>
      <c r="E40" s="85">
        <f t="shared" si="5"/>
        <v>1.32502492522433</v>
      </c>
      <c r="F40" s="85">
        <f t="shared" si="5"/>
        <v>1.17914012738854</v>
      </c>
      <c r="G40" s="85">
        <f t="shared" si="5"/>
        <v>1.41720304271504</v>
      </c>
      <c r="H40" s="85">
        <f t="shared" si="5"/>
        <v>1.48963642541624</v>
      </c>
      <c r="I40" s="85">
        <f t="shared" si="5"/>
        <v>0.284784181335905</v>
      </c>
      <c r="M40" s="94"/>
      <c r="N40" s="94"/>
      <c r="O40" s="94"/>
      <c r="P40" s="94"/>
      <c r="Q40" s="94"/>
      <c r="R40" s="94"/>
    </row>
    <row r="41" spans="13:18">
      <c r="M41" s="94"/>
      <c r="N41" s="94"/>
      <c r="O41" s="94"/>
      <c r="P41" s="94"/>
      <c r="Q41" s="94"/>
      <c r="R41" s="94"/>
    </row>
    <row r="42" spans="13:18">
      <c r="M42" s="94"/>
      <c r="N42" s="94"/>
      <c r="O42" s="94"/>
      <c r="P42" s="94"/>
      <c r="Q42" s="94"/>
      <c r="R42" s="94"/>
    </row>
    <row r="43" spans="2:18">
      <c r="B43" s="86" t="s">
        <v>39</v>
      </c>
      <c r="M43" s="94"/>
      <c r="N43" s="94"/>
      <c r="O43" s="94"/>
      <c r="P43" s="94"/>
      <c r="Q43" s="94"/>
      <c r="R43" s="94"/>
    </row>
    <row r="45" spans="13:18">
      <c r="M45" s="93" t="s">
        <v>40</v>
      </c>
      <c r="N45" s="93"/>
      <c r="O45" s="93"/>
      <c r="P45" s="93"/>
      <c r="Q45" s="93"/>
      <c r="R45" s="93"/>
    </row>
    <row r="46" spans="2:18">
      <c r="B46" s="79"/>
      <c r="C46" s="79"/>
      <c r="D46" s="79">
        <v>2020</v>
      </c>
      <c r="E46" s="79">
        <v>2021</v>
      </c>
      <c r="F46" s="79">
        <v>2022</v>
      </c>
      <c r="G46" s="79">
        <v>2023</v>
      </c>
      <c r="H46" s="79">
        <v>2024</v>
      </c>
      <c r="I46" s="79">
        <v>2025</v>
      </c>
      <c r="K46" s="82" t="s">
        <v>41</v>
      </c>
      <c r="L46" s="78" t="s">
        <v>42</v>
      </c>
      <c r="M46" s="93"/>
      <c r="N46" s="93"/>
      <c r="O46" s="93"/>
      <c r="P46" s="93"/>
      <c r="Q46" s="93"/>
      <c r="R46" s="93"/>
    </row>
    <row r="47" spans="2:18">
      <c r="B47" s="81" t="s">
        <v>41</v>
      </c>
      <c r="C47" s="87" t="s">
        <v>43</v>
      </c>
      <c r="D47" s="87">
        <f t="shared" ref="D47:I47" si="6">ROUND((D14/D3)*365,0)</f>
        <v>44</v>
      </c>
      <c r="E47" s="87">
        <f t="shared" si="6"/>
        <v>53</v>
      </c>
      <c r="F47" s="87">
        <f t="shared" si="6"/>
        <v>55</v>
      </c>
      <c r="G47" s="87">
        <f t="shared" si="6"/>
        <v>80</v>
      </c>
      <c r="H47" s="87">
        <f t="shared" si="6"/>
        <v>116</v>
      </c>
      <c r="I47" s="87">
        <f t="shared" si="6"/>
        <v>128</v>
      </c>
      <c r="K47" s="82" t="s">
        <v>44</v>
      </c>
      <c r="L47" s="78" t="s">
        <v>45</v>
      </c>
      <c r="M47" s="93"/>
      <c r="N47" s="93"/>
      <c r="O47" s="93"/>
      <c r="P47" s="93"/>
      <c r="Q47" s="93"/>
      <c r="R47" s="93"/>
    </row>
    <row r="48" spans="2:18">
      <c r="B48" s="81" t="s">
        <v>44</v>
      </c>
      <c r="C48" s="87" t="s">
        <v>43</v>
      </c>
      <c r="D48" s="87">
        <f t="shared" ref="D48:I48" si="7">(D15/D4)*365</f>
        <v>19.6660435813559</v>
      </c>
      <c r="E48" s="87">
        <f t="shared" si="7"/>
        <v>17.8576921668437</v>
      </c>
      <c r="F48" s="87">
        <f t="shared" si="7"/>
        <v>30.2548096602538</v>
      </c>
      <c r="G48" s="87">
        <f t="shared" si="7"/>
        <v>44.5095035575353</v>
      </c>
      <c r="H48" s="87">
        <f t="shared" si="7"/>
        <v>82.0585508164096</v>
      </c>
      <c r="I48" s="87">
        <f t="shared" si="7"/>
        <v>87.1088519456976</v>
      </c>
      <c r="K48" s="82" t="s">
        <v>46</v>
      </c>
      <c r="L48" s="78" t="s">
        <v>47</v>
      </c>
      <c r="M48" s="93"/>
      <c r="N48" s="93"/>
      <c r="O48" s="93"/>
      <c r="P48" s="93"/>
      <c r="Q48" s="93"/>
      <c r="R48" s="93"/>
    </row>
    <row r="49" spans="2:18">
      <c r="B49" s="81" t="s">
        <v>46</v>
      </c>
      <c r="C49" s="87" t="s">
        <v>43</v>
      </c>
      <c r="D49" s="87">
        <f t="shared" ref="D49:I49" si="8">(D16/D4)*365</f>
        <v>95.3420911435346</v>
      </c>
      <c r="E49" s="87">
        <f t="shared" si="8"/>
        <v>104.566411542828</v>
      </c>
      <c r="F49" s="87">
        <f t="shared" si="8"/>
        <v>115.001478146177</v>
      </c>
      <c r="G49" s="87">
        <f t="shared" si="8"/>
        <v>205.678048092234</v>
      </c>
      <c r="H49" s="87">
        <f t="shared" si="8"/>
        <v>241.000045230449</v>
      </c>
      <c r="I49" s="87">
        <f t="shared" si="8"/>
        <v>271.800671569536</v>
      </c>
      <c r="K49" s="82" t="s">
        <v>48</v>
      </c>
      <c r="L49" s="78" t="s">
        <v>49</v>
      </c>
      <c r="M49" s="93"/>
      <c r="N49" s="93"/>
      <c r="O49" s="93"/>
      <c r="P49" s="93"/>
      <c r="Q49" s="93"/>
      <c r="R49" s="93"/>
    </row>
    <row r="50" spans="2:18">
      <c r="B50" s="81" t="s">
        <v>48</v>
      </c>
      <c r="C50" s="79" t="s">
        <v>3</v>
      </c>
      <c r="D50" s="79">
        <f t="shared" ref="D50:I50" si="9">D14+D15-D16</f>
        <v>-3560</v>
      </c>
      <c r="E50" s="79">
        <f t="shared" si="9"/>
        <v>-3296</v>
      </c>
      <c r="F50" s="79">
        <f t="shared" si="9"/>
        <v>-1799</v>
      </c>
      <c r="G50" s="79">
        <f t="shared" si="9"/>
        <v>-5962</v>
      </c>
      <c r="H50" s="79">
        <f t="shared" si="9"/>
        <v>6434</v>
      </c>
      <c r="I50" s="79">
        <f t="shared" si="9"/>
        <v>9041</v>
      </c>
      <c r="K50" s="82" t="s">
        <v>50</v>
      </c>
      <c r="L50" s="78" t="s">
        <v>51</v>
      </c>
      <c r="M50" s="93"/>
      <c r="N50" s="93"/>
      <c r="O50" s="93"/>
      <c r="P50" s="93"/>
      <c r="Q50" s="93"/>
      <c r="R50" s="93"/>
    </row>
    <row r="51" spans="2:18">
      <c r="B51" s="81" t="s">
        <v>50</v>
      </c>
      <c r="C51" s="79" t="s">
        <v>3</v>
      </c>
      <c r="D51" s="79" t="s">
        <v>26</v>
      </c>
      <c r="E51" s="79">
        <f>E50-D50</f>
        <v>264</v>
      </c>
      <c r="F51" s="79">
        <f>F50-E50</f>
        <v>1497</v>
      </c>
      <c r="G51" s="79">
        <f>G50-F50</f>
        <v>-4163</v>
      </c>
      <c r="H51" s="79">
        <f>H50-G50</f>
        <v>12396</v>
      </c>
      <c r="I51" s="79">
        <f>I50-H50</f>
        <v>2607</v>
      </c>
      <c r="M51" s="93"/>
      <c r="N51" s="93"/>
      <c r="O51" s="93"/>
      <c r="P51" s="93"/>
      <c r="Q51" s="93"/>
      <c r="R51" s="93"/>
    </row>
    <row r="52" spans="13:18">
      <c r="M52" s="93"/>
      <c r="N52" s="93"/>
      <c r="O52" s="93"/>
      <c r="P52" s="93"/>
      <c r="Q52" s="93"/>
      <c r="R52" s="93"/>
    </row>
    <row r="53" spans="2:2">
      <c r="B53" s="86" t="s">
        <v>52</v>
      </c>
    </row>
    <row r="56" spans="2:18">
      <c r="B56" s="79"/>
      <c r="C56" s="79"/>
      <c r="D56" s="79">
        <v>2020</v>
      </c>
      <c r="E56" s="79">
        <v>2021</v>
      </c>
      <c r="F56" s="79">
        <v>2022</v>
      </c>
      <c r="G56" s="79">
        <v>2023</v>
      </c>
      <c r="H56" s="79">
        <v>2024</v>
      </c>
      <c r="I56" s="79">
        <v>2025</v>
      </c>
      <c r="M56" s="93" t="s">
        <v>53</v>
      </c>
      <c r="N56" s="93"/>
      <c r="O56" s="93"/>
      <c r="P56" s="93"/>
      <c r="Q56" s="93"/>
      <c r="R56" s="93"/>
    </row>
    <row r="57" spans="2:18">
      <c r="B57" s="81" t="s">
        <v>54</v>
      </c>
      <c r="C57" s="88" t="s">
        <v>3</v>
      </c>
      <c r="D57" s="88">
        <f t="shared" ref="D57:I57" si="10">D13-D12</f>
        <v>7616</v>
      </c>
      <c r="E57" s="88">
        <f t="shared" si="10"/>
        <v>6537</v>
      </c>
      <c r="F57" s="88">
        <f t="shared" si="10"/>
        <v>1609</v>
      </c>
      <c r="G57" s="88">
        <f t="shared" si="10"/>
        <v>8057</v>
      </c>
      <c r="H57" s="88">
        <f t="shared" si="10"/>
        <v>13391</v>
      </c>
      <c r="I57" s="88">
        <f t="shared" si="10"/>
        <v>14809</v>
      </c>
      <c r="K57" s="82" t="s">
        <v>54</v>
      </c>
      <c r="L57" s="78" t="s">
        <v>55</v>
      </c>
      <c r="M57" s="93"/>
      <c r="N57" s="93"/>
      <c r="O57" s="93"/>
      <c r="P57" s="93"/>
      <c r="Q57" s="93"/>
      <c r="R57" s="93"/>
    </row>
    <row r="58" spans="2:18">
      <c r="B58" s="81" t="s">
        <v>56</v>
      </c>
      <c r="C58" s="85" t="s">
        <v>38</v>
      </c>
      <c r="D58" s="85">
        <f t="shared" ref="D58:I58" si="11">D13/D18</f>
        <v>2.61327857631759</v>
      </c>
      <c r="E58" s="85">
        <f t="shared" si="11"/>
        <v>5.98243626062323</v>
      </c>
      <c r="F58" s="85">
        <f t="shared" si="11"/>
        <v>1.52853496681981</v>
      </c>
      <c r="G58" s="85">
        <f t="shared" si="11"/>
        <v>2.56270549553781</v>
      </c>
      <c r="H58" s="85">
        <f t="shared" si="11"/>
        <v>1.08067483286221</v>
      </c>
      <c r="I58" s="85">
        <f t="shared" si="11"/>
        <v>0.945809639859193</v>
      </c>
      <c r="K58" s="82" t="s">
        <v>56</v>
      </c>
      <c r="L58" s="78" t="s">
        <v>57</v>
      </c>
      <c r="M58" s="93"/>
      <c r="N58" s="93"/>
      <c r="O58" s="93"/>
      <c r="P58" s="93"/>
      <c r="Q58" s="93"/>
      <c r="R58" s="93"/>
    </row>
    <row r="59" spans="13:18">
      <c r="M59" s="93"/>
      <c r="N59" s="93"/>
      <c r="O59" s="93"/>
      <c r="P59" s="93"/>
      <c r="Q59" s="93"/>
      <c r="R59" s="93"/>
    </row>
    <row r="60" spans="13:18">
      <c r="M60" s="93"/>
      <c r="N60" s="93"/>
      <c r="O60" s="93"/>
      <c r="P60" s="93"/>
      <c r="Q60" s="93"/>
      <c r="R60" s="93"/>
    </row>
    <row r="61" spans="13:18">
      <c r="M61" s="93"/>
      <c r="N61" s="93"/>
      <c r="O61" s="93"/>
      <c r="P61" s="93"/>
      <c r="Q61" s="93"/>
      <c r="R61" s="93"/>
    </row>
    <row r="62" spans="13:18">
      <c r="M62" s="93"/>
      <c r="N62" s="93"/>
      <c r="O62" s="93"/>
      <c r="P62" s="93"/>
      <c r="Q62" s="93"/>
      <c r="R62" s="93"/>
    </row>
    <row r="63" spans="2:18">
      <c r="B63" s="89" t="s">
        <v>58</v>
      </c>
      <c r="C63" s="90"/>
      <c r="D63" s="90"/>
      <c r="M63" s="93"/>
      <c r="N63" s="93"/>
      <c r="O63" s="93"/>
      <c r="P63" s="93"/>
      <c r="Q63" s="93"/>
      <c r="R63" s="93"/>
    </row>
    <row r="64" spans="2:4">
      <c r="B64" s="90"/>
      <c r="C64" s="90"/>
      <c r="D64" s="90"/>
    </row>
    <row r="65" spans="2:4">
      <c r="B65" s="90"/>
      <c r="C65" s="90"/>
      <c r="D65" s="90"/>
    </row>
    <row r="66" spans="2:4">
      <c r="B66" s="90"/>
      <c r="C66" s="90"/>
      <c r="D66" s="90"/>
    </row>
    <row r="67" spans="2:4">
      <c r="B67" s="90"/>
      <c r="C67" s="90"/>
      <c r="D67" s="90"/>
    </row>
    <row r="68" spans="2:4">
      <c r="B68" s="90"/>
      <c r="C68" s="90"/>
      <c r="D68" s="90"/>
    </row>
    <row r="69" spans="2:4">
      <c r="B69" s="90"/>
      <c r="C69" s="90"/>
      <c r="D69" s="90"/>
    </row>
  </sheetData>
  <mergeCells count="5">
    <mergeCell ref="M26:R34"/>
    <mergeCell ref="M36:R43"/>
    <mergeCell ref="M45:R52"/>
    <mergeCell ref="M56:R63"/>
    <mergeCell ref="B63:D69"/>
  </mergeCell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M56"/>
  <sheetViews>
    <sheetView zoomScale="58" zoomScaleNormal="58" topLeftCell="A18" workbookViewId="0">
      <selection activeCell="B50" sqref="B50"/>
    </sheetView>
  </sheetViews>
  <sheetFormatPr defaultColWidth="9.14375" defaultRowHeight="17.6"/>
  <cols>
    <col min="1" max="1" width="9.14375" style="1"/>
    <col min="2" max="2" width="40.75" style="1" customWidth="1"/>
    <col min="3" max="3" width="10.93125" style="1" customWidth="1"/>
    <col min="4" max="4" width="9.14375" style="1"/>
    <col min="5" max="5" width="26.5" style="1" customWidth="1"/>
    <col min="6" max="6" width="12.85625" style="1" customWidth="1"/>
    <col min="7" max="7" width="11.35625" style="1" customWidth="1"/>
    <col min="8" max="8" width="13.2125" style="1" customWidth="1"/>
    <col min="9" max="11" width="9.14375" style="1"/>
    <col min="12" max="12" width="10.06875" style="1"/>
    <col min="13" max="16384" width="9.14375" style="1"/>
  </cols>
  <sheetData>
    <row r="1" ht="20.4" spans="5:5">
      <c r="E1" s="9"/>
    </row>
    <row r="2" ht="20.4" spans="2:3">
      <c r="B2" s="58" t="s">
        <v>59</v>
      </c>
      <c r="C2" s="9"/>
    </row>
    <row r="3" spans="5:13">
      <c r="E3" s="73" t="s">
        <v>60</v>
      </c>
      <c r="F3" s="50"/>
      <c r="G3" s="50" t="s">
        <v>61</v>
      </c>
      <c r="H3" s="50" t="s">
        <v>62</v>
      </c>
      <c r="I3" s="50" t="s">
        <v>63</v>
      </c>
      <c r="J3" s="50" t="s">
        <v>64</v>
      </c>
      <c r="K3" s="50" t="s">
        <v>65</v>
      </c>
      <c r="L3" s="50" t="s">
        <v>66</v>
      </c>
      <c r="M3" s="50" t="s">
        <v>67</v>
      </c>
    </row>
    <row r="4" ht="20.4" spans="2:13">
      <c r="B4" s="59" t="s">
        <v>68</v>
      </c>
      <c r="E4" s="73" t="s">
        <v>69</v>
      </c>
      <c r="F4" s="50" t="s">
        <v>25</v>
      </c>
      <c r="G4" s="50" t="s">
        <v>70</v>
      </c>
      <c r="H4" s="50" t="s">
        <v>70</v>
      </c>
      <c r="I4" s="75">
        <v>0.15</v>
      </c>
      <c r="J4" s="64">
        <v>0.12</v>
      </c>
      <c r="K4" s="64">
        <v>0.09</v>
      </c>
      <c r="L4" s="64">
        <v>0.07</v>
      </c>
      <c r="M4" s="64">
        <v>0.05</v>
      </c>
    </row>
    <row r="5" ht="20.4" spans="2:13">
      <c r="B5" s="62"/>
      <c r="E5" s="73" t="s">
        <v>71</v>
      </c>
      <c r="F5" s="50" t="s">
        <v>25</v>
      </c>
      <c r="G5" s="50" t="s">
        <v>70</v>
      </c>
      <c r="H5" s="50" t="s">
        <v>70</v>
      </c>
      <c r="I5" s="65">
        <v>0.045</v>
      </c>
      <c r="J5" s="64">
        <v>0.05</v>
      </c>
      <c r="K5" s="65">
        <v>0.055</v>
      </c>
      <c r="L5" s="64">
        <v>0.06</v>
      </c>
      <c r="M5" s="65">
        <v>0.065</v>
      </c>
    </row>
    <row r="6" ht="20.4" spans="2:13">
      <c r="B6" s="9" t="s">
        <v>72</v>
      </c>
      <c r="E6" s="73" t="s">
        <v>73</v>
      </c>
      <c r="F6" s="50" t="s">
        <v>25</v>
      </c>
      <c r="G6" s="50" t="s">
        <v>70</v>
      </c>
      <c r="H6" s="50" t="s">
        <v>70</v>
      </c>
      <c r="I6" s="64">
        <v>0.05</v>
      </c>
      <c r="J6" s="64">
        <v>0.05</v>
      </c>
      <c r="K6" s="64">
        <v>0.05</v>
      </c>
      <c r="L6" s="64">
        <v>0.05</v>
      </c>
      <c r="M6" s="64">
        <v>0.05</v>
      </c>
    </row>
    <row r="7" ht="21" spans="2:13">
      <c r="B7" s="72" t="s">
        <v>74</v>
      </c>
      <c r="E7" s="73" t="s">
        <v>35</v>
      </c>
      <c r="F7" s="50" t="s">
        <v>25</v>
      </c>
      <c r="G7" s="50" t="s">
        <v>70</v>
      </c>
      <c r="H7" s="50" t="s">
        <v>70</v>
      </c>
      <c r="I7" s="65">
        <v>0.042</v>
      </c>
      <c r="J7" s="65">
        <v>0.042</v>
      </c>
      <c r="K7" s="65">
        <v>0.041</v>
      </c>
      <c r="L7" s="64">
        <v>0.04</v>
      </c>
      <c r="M7" s="64">
        <v>0.04</v>
      </c>
    </row>
    <row r="8" ht="21" spans="2:13">
      <c r="B8" s="72" t="s">
        <v>75</v>
      </c>
      <c r="E8" s="73" t="s">
        <v>36</v>
      </c>
      <c r="F8" s="50" t="s">
        <v>25</v>
      </c>
      <c r="G8" s="50" t="s">
        <v>70</v>
      </c>
      <c r="H8" s="50" t="s">
        <v>70</v>
      </c>
      <c r="I8" s="76">
        <v>0.04</v>
      </c>
      <c r="J8" s="77">
        <v>0.04</v>
      </c>
      <c r="K8" s="65">
        <v>0.038</v>
      </c>
      <c r="L8" s="65">
        <v>0.035</v>
      </c>
      <c r="M8" s="65">
        <v>0.035</v>
      </c>
    </row>
    <row r="9" ht="21" spans="2:13">
      <c r="B9" s="72" t="s">
        <v>76</v>
      </c>
      <c r="E9" s="73" t="s">
        <v>77</v>
      </c>
      <c r="F9" s="50" t="s">
        <v>25</v>
      </c>
      <c r="G9" s="50" t="s">
        <v>70</v>
      </c>
      <c r="H9" s="50" t="s">
        <v>70</v>
      </c>
      <c r="I9" s="65">
        <v>0.095</v>
      </c>
      <c r="J9" s="65">
        <v>0.095</v>
      </c>
      <c r="K9" s="65">
        <v>0.095</v>
      </c>
      <c r="L9" s="65">
        <v>0.095</v>
      </c>
      <c r="M9" s="65">
        <v>0.095</v>
      </c>
    </row>
    <row r="10" ht="21" spans="2:13">
      <c r="B10" s="72" t="s">
        <v>78</v>
      </c>
      <c r="E10" s="73"/>
      <c r="F10" s="50"/>
      <c r="G10" s="50"/>
      <c r="H10" s="50"/>
      <c r="I10" s="50"/>
      <c r="J10" s="50"/>
      <c r="K10" s="50"/>
      <c r="L10" s="50"/>
      <c r="M10" s="50"/>
    </row>
    <row r="11" spans="2:13">
      <c r="B11" s="61"/>
      <c r="E11" s="73" t="s">
        <v>79</v>
      </c>
      <c r="F11" s="50"/>
      <c r="G11" s="50"/>
      <c r="H11" s="50"/>
      <c r="I11" s="50"/>
      <c r="J11" s="50"/>
      <c r="K11" s="50"/>
      <c r="L11" s="50"/>
      <c r="M11" s="50"/>
    </row>
    <row r="12" spans="5:13">
      <c r="E12" s="73" t="s">
        <v>80</v>
      </c>
      <c r="F12" s="50" t="s">
        <v>81</v>
      </c>
      <c r="G12" s="54">
        <v>81126</v>
      </c>
      <c r="H12" s="54">
        <v>95472</v>
      </c>
      <c r="I12" s="54">
        <f>H12*(1+I4)</f>
        <v>109792.8</v>
      </c>
      <c r="J12" s="54">
        <f t="shared" ref="I12:M12" si="0">I12*(1+J4)</f>
        <v>122967.936</v>
      </c>
      <c r="K12" s="54">
        <f t="shared" si="0"/>
        <v>134035.05024</v>
      </c>
      <c r="L12" s="54">
        <f t="shared" si="0"/>
        <v>143417.5037568</v>
      </c>
      <c r="M12" s="54">
        <f t="shared" si="0"/>
        <v>150588.37894464</v>
      </c>
    </row>
    <row r="13" spans="5:13">
      <c r="E13" s="73" t="s">
        <v>82</v>
      </c>
      <c r="F13" s="50" t="s">
        <v>81</v>
      </c>
      <c r="G13" s="54">
        <v>2373</v>
      </c>
      <c r="H13" s="54">
        <v>4019</v>
      </c>
      <c r="I13" s="54">
        <f>I12*I5</f>
        <v>4940.676</v>
      </c>
      <c r="J13" s="54">
        <f t="shared" ref="I13:M13" si="1">J12*J5</f>
        <v>6148.3968</v>
      </c>
      <c r="K13" s="54">
        <f t="shared" si="1"/>
        <v>7371.9277632</v>
      </c>
      <c r="L13" s="54">
        <f t="shared" si="1"/>
        <v>8605.050225408</v>
      </c>
      <c r="M13" s="54">
        <f t="shared" si="1"/>
        <v>9788.2446314016</v>
      </c>
    </row>
    <row r="14" spans="5:13">
      <c r="E14" s="73" t="s">
        <v>83</v>
      </c>
      <c r="F14" s="50" t="s">
        <v>81</v>
      </c>
      <c r="G14" s="54">
        <f>G13*(1-0)</f>
        <v>2373</v>
      </c>
      <c r="H14" s="54">
        <f>H13*(1-0.05)</f>
        <v>3818.05</v>
      </c>
      <c r="I14" s="54">
        <f>I13*(1-I6)</f>
        <v>4693.6422</v>
      </c>
      <c r="J14" s="54">
        <f>J13*(1-J6)</f>
        <v>5840.97696</v>
      </c>
      <c r="K14" s="54">
        <f t="shared" ref="I14:M14" si="2">K13*(1-K6)</f>
        <v>7003.33137504</v>
      </c>
      <c r="L14" s="54">
        <f t="shared" si="2"/>
        <v>8174.7977141376</v>
      </c>
      <c r="M14" s="54">
        <f t="shared" si="2"/>
        <v>9298.83239983152</v>
      </c>
    </row>
    <row r="15" spans="5:13">
      <c r="E15" s="73" t="s">
        <v>84</v>
      </c>
      <c r="F15" s="50" t="s">
        <v>81</v>
      </c>
      <c r="G15" s="54">
        <v>2943</v>
      </c>
      <c r="H15" s="54">
        <v>4147</v>
      </c>
      <c r="I15" s="54">
        <f>I12*I7</f>
        <v>4611.2976</v>
      </c>
      <c r="J15" s="54">
        <f t="shared" ref="I15:M15" si="3">J12*J7</f>
        <v>5164.653312</v>
      </c>
      <c r="K15" s="54">
        <f t="shared" si="3"/>
        <v>5495.43705984</v>
      </c>
      <c r="L15" s="54">
        <f t="shared" si="3"/>
        <v>5736.700150272</v>
      </c>
      <c r="M15" s="54">
        <f t="shared" si="3"/>
        <v>6023.5351577856</v>
      </c>
    </row>
    <row r="16" spans="5:13">
      <c r="E16" s="73" t="s">
        <v>85</v>
      </c>
      <c r="F16" s="50" t="s">
        <v>81</v>
      </c>
      <c r="G16" s="54">
        <v>4384</v>
      </c>
      <c r="H16" s="54">
        <v>1181</v>
      </c>
      <c r="I16" s="54">
        <f t="shared" ref="I16:M16" si="4">I12*I8</f>
        <v>4391.712</v>
      </c>
      <c r="J16" s="54">
        <f t="shared" si="4"/>
        <v>4918.71744</v>
      </c>
      <c r="K16" s="54">
        <f t="shared" si="4"/>
        <v>5093.33190912</v>
      </c>
      <c r="L16" s="54">
        <f t="shared" si="4"/>
        <v>5019.612631488</v>
      </c>
      <c r="M16" s="54">
        <f t="shared" si="4"/>
        <v>5270.5932630624</v>
      </c>
    </row>
    <row r="17" spans="5:13">
      <c r="E17" s="73" t="s">
        <v>86</v>
      </c>
      <c r="F17" s="50" t="s">
        <v>81</v>
      </c>
      <c r="G17" s="54">
        <v>6434</v>
      </c>
      <c r="H17" s="54">
        <v>9041</v>
      </c>
      <c r="I17" s="54">
        <f t="shared" ref="I17:M17" si="5">I12*I9</f>
        <v>10430.316</v>
      </c>
      <c r="J17" s="54">
        <f t="shared" si="5"/>
        <v>11681.95392</v>
      </c>
      <c r="K17" s="54">
        <f t="shared" si="5"/>
        <v>12733.3297728</v>
      </c>
      <c r="L17" s="54">
        <f t="shared" si="5"/>
        <v>13624.662856896</v>
      </c>
      <c r="M17" s="54">
        <f t="shared" si="5"/>
        <v>14305.8959997408</v>
      </c>
    </row>
    <row r="18" spans="5:13">
      <c r="E18" s="73" t="s">
        <v>50</v>
      </c>
      <c r="F18" s="50" t="s">
        <v>81</v>
      </c>
      <c r="G18" s="50"/>
      <c r="H18" s="54">
        <f t="shared" ref="H18:M18" si="6">H17-G17</f>
        <v>2607</v>
      </c>
      <c r="I18" s="54">
        <f t="shared" si="6"/>
        <v>1389.316</v>
      </c>
      <c r="J18" s="54">
        <f t="shared" si="6"/>
        <v>1251.63792</v>
      </c>
      <c r="K18" s="54">
        <f t="shared" si="6"/>
        <v>1051.3758528</v>
      </c>
      <c r="L18" s="54">
        <f t="shared" si="6"/>
        <v>891.333084096001</v>
      </c>
      <c r="M18" s="54">
        <f t="shared" si="6"/>
        <v>681.233142844803</v>
      </c>
    </row>
    <row r="19" spans="5:13">
      <c r="E19" s="73" t="s">
        <v>87</v>
      </c>
      <c r="F19" s="50" t="s">
        <v>81</v>
      </c>
      <c r="G19" s="50"/>
      <c r="H19" s="54">
        <f t="shared" ref="H19:M19" si="7">H14+H15-H16-H18</f>
        <v>4177.05</v>
      </c>
      <c r="I19" s="54">
        <f t="shared" si="7"/>
        <v>3523.9118</v>
      </c>
      <c r="J19" s="54">
        <f t="shared" si="7"/>
        <v>4835.274912</v>
      </c>
      <c r="K19" s="54">
        <f t="shared" si="7"/>
        <v>6354.06067296</v>
      </c>
      <c r="L19" s="54">
        <f t="shared" si="7"/>
        <v>8000.5521488256</v>
      </c>
      <c r="M19" s="54">
        <f t="shared" si="7"/>
        <v>9370.54115170992</v>
      </c>
    </row>
    <row r="21" ht="20.4" spans="5:6">
      <c r="E21" s="74" t="s">
        <v>88</v>
      </c>
      <c r="F21" s="9" t="s">
        <v>89</v>
      </c>
    </row>
    <row r="22" ht="20.4" spans="6:6">
      <c r="F22" s="9" t="s">
        <v>90</v>
      </c>
    </row>
    <row r="23" ht="20.4" spans="6:6">
      <c r="F23" s="9"/>
    </row>
    <row r="24" ht="20.4" spans="5:6">
      <c r="E24" s="74" t="s">
        <v>91</v>
      </c>
      <c r="F24" s="9" t="s">
        <v>92</v>
      </c>
    </row>
    <row r="25" ht="20.4" spans="6:6">
      <c r="F25" s="9" t="s">
        <v>93</v>
      </c>
    </row>
    <row r="27" ht="20.4" spans="5:6">
      <c r="E27" s="74" t="s">
        <v>94</v>
      </c>
      <c r="F27" s="62" t="s">
        <v>95</v>
      </c>
    </row>
    <row r="28" ht="20.4" spans="6:6">
      <c r="F28" s="9" t="s">
        <v>96</v>
      </c>
    </row>
    <row r="30" ht="20.4" spans="5:6">
      <c r="E30" s="74" t="s">
        <v>97</v>
      </c>
      <c r="F30" s="9" t="s">
        <v>98</v>
      </c>
    </row>
    <row r="31" ht="20.4" spans="6:6">
      <c r="F31" s="9" t="s">
        <v>99</v>
      </c>
    </row>
    <row r="33" ht="20.4" spans="5:6">
      <c r="E33" s="74" t="s">
        <v>100</v>
      </c>
      <c r="F33" s="9" t="s">
        <v>101</v>
      </c>
    </row>
    <row r="34" ht="20.4" spans="6:6">
      <c r="F34" s="9" t="s">
        <v>102</v>
      </c>
    </row>
    <row r="36" ht="20.4" spans="5:6">
      <c r="E36" s="74" t="s">
        <v>103</v>
      </c>
      <c r="F36" s="62" t="s">
        <v>104</v>
      </c>
    </row>
    <row r="37" ht="20.4" spans="6:6">
      <c r="F37" s="9" t="s">
        <v>105</v>
      </c>
    </row>
    <row r="39" ht="20.4" spans="6:6">
      <c r="F39" s="9" t="s">
        <v>106</v>
      </c>
    </row>
    <row r="40" ht="20.4" spans="6:6">
      <c r="F40" s="9"/>
    </row>
    <row r="41" ht="20.4" spans="6:6">
      <c r="F41" s="9" t="s">
        <v>107</v>
      </c>
    </row>
    <row r="42" ht="20.4" spans="6:6">
      <c r="F42" s="9"/>
    </row>
    <row r="43" ht="20.4" spans="6:6">
      <c r="F43" s="9" t="s">
        <v>108</v>
      </c>
    </row>
    <row r="44" ht="20.4" spans="6:6">
      <c r="F44" s="9" t="s">
        <v>109</v>
      </c>
    </row>
    <row r="45" ht="20.4" spans="6:6">
      <c r="F45" s="9" t="s">
        <v>110</v>
      </c>
    </row>
    <row r="46" ht="20.4" spans="6:6">
      <c r="F46" s="9" t="s">
        <v>111</v>
      </c>
    </row>
    <row r="47" ht="20.4" spans="6:6">
      <c r="F47" s="9" t="s">
        <v>112</v>
      </c>
    </row>
    <row r="48" ht="20.4" spans="6:6">
      <c r="F48" s="9" t="s">
        <v>113</v>
      </c>
    </row>
    <row r="50" ht="21.6" spans="2:2">
      <c r="B50" s="53" t="s">
        <v>114</v>
      </c>
    </row>
    <row r="51" ht="21.6" spans="2:2">
      <c r="B51" s="63"/>
    </row>
    <row r="52" ht="21.6" spans="2:2">
      <c r="B52" s="63" t="s">
        <v>115</v>
      </c>
    </row>
    <row r="53" ht="21.6" spans="2:2">
      <c r="B53" s="63" t="s">
        <v>116</v>
      </c>
    </row>
    <row r="54" ht="21.6" spans="2:2">
      <c r="B54" s="63" t="s">
        <v>117</v>
      </c>
    </row>
    <row r="55" ht="21.6" spans="2:2">
      <c r="B55" s="63" t="s">
        <v>118</v>
      </c>
    </row>
    <row r="56" ht="21.6" spans="2:2">
      <c r="B56" s="63" t="s">
        <v>119</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F52"/>
  <sheetViews>
    <sheetView zoomScale="62" zoomScaleNormal="62" topLeftCell="B1" workbookViewId="0">
      <selection activeCell="B35" sqref="B35"/>
    </sheetView>
  </sheetViews>
  <sheetFormatPr defaultColWidth="9.14375" defaultRowHeight="17.6" outlineLevelCol="5"/>
  <cols>
    <col min="1" max="1" width="9.14375" style="1"/>
    <col min="2" max="2" width="146.875" style="1" customWidth="1"/>
    <col min="3" max="3" width="9.14375" style="1"/>
    <col min="4" max="4" width="32.7875" style="1" customWidth="1"/>
    <col min="5" max="5" width="12.7875" style="1" customWidth="1"/>
    <col min="6" max="6" width="35.43125" style="1" customWidth="1"/>
    <col min="7" max="16384" width="9.14375" style="1"/>
  </cols>
  <sheetData>
    <row r="2" ht="23.2" spans="1:6">
      <c r="A2" s="49" t="s">
        <v>120</v>
      </c>
      <c r="B2" s="58" t="s">
        <v>121</v>
      </c>
      <c r="D2" s="50" t="s">
        <v>122</v>
      </c>
      <c r="E2" s="50" t="s">
        <v>123</v>
      </c>
      <c r="F2" s="50" t="s">
        <v>124</v>
      </c>
    </row>
    <row r="3" spans="4:6">
      <c r="D3" s="50" t="s">
        <v>125</v>
      </c>
      <c r="E3" s="65">
        <v>0.145</v>
      </c>
      <c r="F3" s="50" t="s">
        <v>126</v>
      </c>
    </row>
    <row r="4" ht="21" spans="2:6">
      <c r="B4" s="51" t="s">
        <v>72</v>
      </c>
      <c r="D4" s="50" t="s">
        <v>127</v>
      </c>
      <c r="E4" s="64">
        <v>0.06</v>
      </c>
      <c r="F4" s="50" t="s">
        <v>128</v>
      </c>
    </row>
    <row r="5" ht="19" customHeight="1" spans="2:6">
      <c r="B5" s="52" t="s">
        <v>129</v>
      </c>
      <c r="D5" s="50" t="s">
        <v>130</v>
      </c>
      <c r="E5" s="71">
        <v>1.2</v>
      </c>
      <c r="F5" s="50" t="s">
        <v>131</v>
      </c>
    </row>
    <row r="6" ht="21" spans="2:6">
      <c r="B6" s="52" t="s">
        <v>132</v>
      </c>
      <c r="D6" s="50" t="s">
        <v>133</v>
      </c>
      <c r="E6" s="65">
        <f>E3+E4*E5</f>
        <v>0.217</v>
      </c>
      <c r="F6" s="65"/>
    </row>
    <row r="7" ht="18" customHeight="1" spans="2:6">
      <c r="B7" s="52" t="s">
        <v>134</v>
      </c>
      <c r="D7" s="50"/>
      <c r="E7" s="50"/>
      <c r="F7" s="50"/>
    </row>
    <row r="8" ht="21" spans="2:6">
      <c r="B8" s="52" t="s">
        <v>135</v>
      </c>
      <c r="D8" s="66" t="s">
        <v>136</v>
      </c>
      <c r="E8" s="54">
        <v>27943</v>
      </c>
      <c r="F8" s="50" t="s">
        <v>137</v>
      </c>
    </row>
    <row r="9" ht="20" customHeight="1" spans="2:6">
      <c r="B9" s="52" t="s">
        <v>138</v>
      </c>
      <c r="D9" s="50" t="s">
        <v>139</v>
      </c>
      <c r="E9" s="54">
        <v>29544</v>
      </c>
      <c r="F9" s="50" t="s">
        <v>137</v>
      </c>
    </row>
    <row r="10" ht="21" spans="2:6">
      <c r="B10" s="52" t="s">
        <v>140</v>
      </c>
      <c r="D10" s="50" t="s">
        <v>141</v>
      </c>
      <c r="E10" s="54">
        <f>E8+E9</f>
        <v>57487</v>
      </c>
      <c r="F10" s="50"/>
    </row>
    <row r="11" spans="4:6">
      <c r="D11" s="50" t="s">
        <v>142</v>
      </c>
      <c r="E11" s="55">
        <f>E8/E10</f>
        <v>0.486075112634161</v>
      </c>
      <c r="F11" s="50"/>
    </row>
    <row r="12" spans="4:6">
      <c r="D12" s="50" t="s">
        <v>143</v>
      </c>
      <c r="E12" s="55">
        <f>E9/E10</f>
        <v>0.513924887365839</v>
      </c>
      <c r="F12" s="50"/>
    </row>
    <row r="13" ht="23.2" spans="1:6">
      <c r="A13" s="49" t="s">
        <v>144</v>
      </c>
      <c r="B13" s="67" t="s">
        <v>145</v>
      </c>
      <c r="D13" s="50"/>
      <c r="E13" s="50"/>
      <c r="F13" s="50"/>
    </row>
    <row r="14" ht="20.4" spans="2:6">
      <c r="B14" s="51"/>
      <c r="D14" s="66" t="s">
        <v>146</v>
      </c>
      <c r="E14" s="64">
        <v>0.05</v>
      </c>
      <c r="F14" s="50" t="s">
        <v>147</v>
      </c>
    </row>
    <row r="15" ht="20.4" spans="2:6">
      <c r="B15" s="59" t="s">
        <v>148</v>
      </c>
      <c r="D15" s="50" t="s">
        <v>149</v>
      </c>
      <c r="E15" s="64">
        <v>0.23</v>
      </c>
      <c r="F15" s="50" t="s">
        <v>150</v>
      </c>
    </row>
    <row r="16" ht="20.4" spans="2:6">
      <c r="B16" s="62"/>
      <c r="D16" s="50" t="s">
        <v>151</v>
      </c>
      <c r="E16" s="65">
        <f>E15*(1-E14)</f>
        <v>0.2185</v>
      </c>
      <c r="F16" s="50"/>
    </row>
    <row r="17" ht="20.4" spans="2:6">
      <c r="B17" s="62" t="s">
        <v>72</v>
      </c>
      <c r="D17" s="50"/>
      <c r="E17" s="50"/>
      <c r="F17" s="50"/>
    </row>
    <row r="18" ht="21" customHeight="1" spans="2:6">
      <c r="B18" s="52" t="s">
        <v>152</v>
      </c>
      <c r="D18" s="50" t="s">
        <v>153</v>
      </c>
      <c r="E18" s="65">
        <f>E12*E6+E11*E16</f>
        <v>0.217729112668951</v>
      </c>
      <c r="F18" s="50" t="s">
        <v>154</v>
      </c>
    </row>
    <row r="19" ht="21" spans="2:2">
      <c r="B19" s="52" t="s">
        <v>155</v>
      </c>
    </row>
    <row r="20" ht="19" customHeight="1" spans="2:2">
      <c r="B20" s="52" t="s">
        <v>156</v>
      </c>
    </row>
    <row r="22" ht="20.8" spans="2:2">
      <c r="B22" s="68" t="s">
        <v>157</v>
      </c>
    </row>
    <row r="24" ht="23.2" spans="1:2">
      <c r="A24" s="49" t="s">
        <v>158</v>
      </c>
      <c r="B24" s="67" t="s">
        <v>159</v>
      </c>
    </row>
    <row r="25" ht="20.4" spans="2:2">
      <c r="B25" s="51"/>
    </row>
    <row r="26" ht="21" spans="2:2">
      <c r="B26" s="51" t="s">
        <v>160</v>
      </c>
    </row>
    <row r="27" ht="21" spans="2:2">
      <c r="B27" s="60" t="s">
        <v>161</v>
      </c>
    </row>
    <row r="28" ht="21" spans="2:2">
      <c r="B28" s="60" t="s">
        <v>162</v>
      </c>
    </row>
    <row r="29" ht="21" spans="2:2">
      <c r="B29" s="60" t="s">
        <v>163</v>
      </c>
    </row>
    <row r="30" spans="2:2">
      <c r="B30" s="61"/>
    </row>
    <row r="31" ht="21" spans="1:2">
      <c r="A31" s="9"/>
      <c r="B31" s="51" t="s">
        <v>164</v>
      </c>
    </row>
    <row r="32" ht="20.4" spans="1:2">
      <c r="A32" s="9"/>
      <c r="B32" s="51"/>
    </row>
    <row r="33" ht="21" spans="1:2">
      <c r="A33" s="9"/>
      <c r="B33" s="51" t="s">
        <v>165</v>
      </c>
    </row>
    <row r="34" ht="20.4" spans="1:2">
      <c r="A34" s="9"/>
      <c r="B34" s="62"/>
    </row>
    <row r="35" ht="21" spans="1:2">
      <c r="A35" s="9"/>
      <c r="B35" s="51" t="s">
        <v>166</v>
      </c>
    </row>
    <row r="37" ht="23.2" spans="1:2">
      <c r="A37" s="49" t="s">
        <v>167</v>
      </c>
      <c r="B37" s="67" t="s">
        <v>168</v>
      </c>
    </row>
    <row r="38" ht="23.2" spans="1:2">
      <c r="A38" s="49"/>
      <c r="B38" s="51"/>
    </row>
    <row r="39" ht="21" spans="2:2">
      <c r="B39" s="60" t="s">
        <v>169</v>
      </c>
    </row>
    <row r="40" ht="21" spans="2:2">
      <c r="B40" s="60" t="s">
        <v>170</v>
      </c>
    </row>
    <row r="41" ht="21" spans="2:2">
      <c r="B41" s="60" t="s">
        <v>171</v>
      </c>
    </row>
    <row r="42" ht="21" spans="2:2">
      <c r="B42" s="60" t="s">
        <v>172</v>
      </c>
    </row>
    <row r="43" ht="20.4" spans="2:2">
      <c r="B43" s="60"/>
    </row>
    <row r="44" ht="20.4" spans="2:2">
      <c r="B44" s="62" t="s">
        <v>173</v>
      </c>
    </row>
    <row r="45" spans="2:2">
      <c r="B45" s="69"/>
    </row>
    <row r="47" ht="23.2" spans="2:2">
      <c r="B47" s="70" t="s">
        <v>114</v>
      </c>
    </row>
    <row r="49" ht="23.2" spans="2:2">
      <c r="B49" s="49" t="s">
        <v>174</v>
      </c>
    </row>
    <row r="50" ht="23.2" spans="2:2">
      <c r="B50" s="49" t="s">
        <v>175</v>
      </c>
    </row>
    <row r="51" ht="23.2" spans="2:2">
      <c r="B51" s="49" t="s">
        <v>176</v>
      </c>
    </row>
    <row r="52" ht="23.2" spans="2:2">
      <c r="B52" s="49" t="s">
        <v>177</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F25"/>
  <sheetViews>
    <sheetView zoomScale="76" zoomScaleNormal="76" topLeftCell="B1" workbookViewId="0">
      <selection activeCell="B36" sqref="B36"/>
    </sheetView>
  </sheetViews>
  <sheetFormatPr defaultColWidth="9.14375" defaultRowHeight="17.6" outlineLevelCol="5"/>
  <cols>
    <col min="1" max="1" width="9.14375" style="1"/>
    <col min="2" max="2" width="106.6875" style="1" customWidth="1"/>
    <col min="3" max="3" width="9.14375" style="1"/>
    <col min="4" max="4" width="35.7875" style="1" customWidth="1"/>
    <col min="5" max="5" width="11.5" style="1"/>
    <col min="6" max="6" width="56.56875" style="1" customWidth="1"/>
    <col min="7" max="16384" width="9.14375" style="1"/>
  </cols>
  <sheetData>
    <row r="2" ht="23.2" spans="1:6">
      <c r="A2" s="49" t="s">
        <v>120</v>
      </c>
      <c r="B2" s="58" t="s">
        <v>178</v>
      </c>
      <c r="D2" s="50" t="s">
        <v>179</v>
      </c>
      <c r="E2" s="50" t="s">
        <v>123</v>
      </c>
      <c r="F2" s="50" t="s">
        <v>124</v>
      </c>
    </row>
    <row r="3" spans="4:6">
      <c r="D3" s="50" t="s">
        <v>180</v>
      </c>
      <c r="E3" s="54"/>
      <c r="F3" s="50"/>
    </row>
    <row r="4" ht="21" spans="2:6">
      <c r="B4" s="51" t="s">
        <v>72</v>
      </c>
      <c r="D4" s="50" t="s">
        <v>181</v>
      </c>
      <c r="E4" s="54">
        <v>9371</v>
      </c>
      <c r="F4" s="50" t="s">
        <v>182</v>
      </c>
    </row>
    <row r="5" ht="21" spans="2:6">
      <c r="B5" s="52" t="s">
        <v>183</v>
      </c>
      <c r="D5" s="50" t="s">
        <v>184</v>
      </c>
      <c r="E5" s="64">
        <v>0.03</v>
      </c>
      <c r="F5" s="50" t="s">
        <v>185</v>
      </c>
    </row>
    <row r="6" ht="21" spans="2:6">
      <c r="B6" s="52" t="s">
        <v>186</v>
      </c>
      <c r="D6" s="50" t="s">
        <v>153</v>
      </c>
      <c r="E6" s="65">
        <v>0.218</v>
      </c>
      <c r="F6" s="50" t="s">
        <v>187</v>
      </c>
    </row>
    <row r="7" ht="21" spans="2:6">
      <c r="B7" s="52" t="s">
        <v>188</v>
      </c>
      <c r="D7" s="50"/>
      <c r="E7" s="50"/>
      <c r="F7" s="50"/>
    </row>
    <row r="8" ht="21" spans="2:6">
      <c r="B8" s="52" t="s">
        <v>189</v>
      </c>
      <c r="D8" s="50" t="s">
        <v>190</v>
      </c>
      <c r="E8" s="50"/>
      <c r="F8" s="50"/>
    </row>
    <row r="9" spans="4:6">
      <c r="D9" s="50" t="s">
        <v>191</v>
      </c>
      <c r="E9" s="54">
        <f>E4*(1+E5)</f>
        <v>9652.13</v>
      </c>
      <c r="F9" s="50" t="s">
        <v>192</v>
      </c>
    </row>
    <row r="10" ht="23.2" spans="1:6">
      <c r="A10" s="49" t="s">
        <v>144</v>
      </c>
      <c r="B10" s="59" t="s">
        <v>193</v>
      </c>
      <c r="D10" s="50" t="s">
        <v>194</v>
      </c>
      <c r="E10" s="65">
        <f>E6-E5</f>
        <v>0.188</v>
      </c>
      <c r="F10" s="50"/>
    </row>
    <row r="11" spans="4:6">
      <c r="D11" s="50" t="s">
        <v>195</v>
      </c>
      <c r="E11" s="54">
        <f>E9/E10</f>
        <v>51341.1170212766</v>
      </c>
      <c r="F11" s="50" t="s">
        <v>81</v>
      </c>
    </row>
    <row r="12" ht="20.4" spans="2:2">
      <c r="B12" s="9" t="s">
        <v>196</v>
      </c>
    </row>
    <row r="14" ht="23.2" spans="1:2">
      <c r="A14" s="49" t="s">
        <v>158</v>
      </c>
      <c r="B14" s="60" t="s">
        <v>197</v>
      </c>
    </row>
    <row r="15" ht="21" spans="2:2">
      <c r="B15" s="60" t="s">
        <v>198</v>
      </c>
    </row>
    <row r="16" ht="21" spans="2:2">
      <c r="B16" s="60" t="s">
        <v>199</v>
      </c>
    </row>
    <row r="17" spans="2:2">
      <c r="B17" s="61"/>
    </row>
    <row r="18" ht="20.4" spans="2:2">
      <c r="B18" s="62" t="s">
        <v>200</v>
      </c>
    </row>
    <row r="21" ht="21.6" spans="2:2">
      <c r="B21" s="53" t="s">
        <v>114</v>
      </c>
    </row>
    <row r="23" ht="21.6" spans="2:2">
      <c r="B23" s="63" t="s">
        <v>201</v>
      </c>
    </row>
    <row r="24" ht="21.6" spans="2:2">
      <c r="B24" s="63" t="s">
        <v>202</v>
      </c>
    </row>
    <row r="25" ht="21.6" spans="2:2">
      <c r="B25" s="63" t="s">
        <v>203</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T24"/>
  <sheetViews>
    <sheetView tabSelected="1" zoomScale="78" zoomScaleNormal="78" workbookViewId="0">
      <selection activeCell="B19" sqref="B19"/>
    </sheetView>
  </sheetViews>
  <sheetFormatPr defaultColWidth="9.14375" defaultRowHeight="17.6"/>
  <cols>
    <col min="1" max="1" width="9.14375" style="1"/>
    <col min="2" max="2" width="84.225" style="1" customWidth="1"/>
    <col min="3" max="4" width="9.14375" style="1"/>
    <col min="5" max="5" width="16.5" style="1" customWidth="1"/>
    <col min="6" max="8" width="9.14375" style="1"/>
    <col min="9" max="9" width="18" style="1" customWidth="1"/>
    <col min="10" max="10" width="29.35625" style="1" customWidth="1"/>
    <col min="11" max="12" width="9.14375" style="1"/>
    <col min="13" max="13" width="25.85625" style="1" customWidth="1"/>
    <col min="14" max="14" width="17.43125" style="1" customWidth="1"/>
    <col min="15" max="15" width="19" style="1" customWidth="1"/>
    <col min="16" max="16" width="15.93125" style="1" customWidth="1"/>
    <col min="17" max="17" width="14.7875" style="1" customWidth="1"/>
    <col min="18" max="19" width="9.14375" style="1"/>
    <col min="20" max="20" width="10.56875" style="1"/>
    <col min="21" max="16384" width="9.14375" style="1"/>
  </cols>
  <sheetData>
    <row r="2" ht="23.2" spans="2:17">
      <c r="B2" s="9" t="s">
        <v>204</v>
      </c>
      <c r="C2" s="49" t="s">
        <v>120</v>
      </c>
      <c r="D2" s="50" t="s">
        <v>205</v>
      </c>
      <c r="E2" s="50" t="s">
        <v>206</v>
      </c>
      <c r="G2" s="49" t="s">
        <v>144</v>
      </c>
      <c r="H2" s="50" t="s">
        <v>205</v>
      </c>
      <c r="I2" s="50" t="s">
        <v>207</v>
      </c>
      <c r="J2" s="50" t="s">
        <v>208</v>
      </c>
      <c r="L2" s="49" t="s">
        <v>158</v>
      </c>
      <c r="M2" s="50" t="s">
        <v>122</v>
      </c>
      <c r="N2" s="50" t="s">
        <v>123</v>
      </c>
      <c r="O2" s="50" t="s">
        <v>153</v>
      </c>
      <c r="P2" s="55">
        <v>0.218</v>
      </c>
      <c r="Q2" s="54"/>
    </row>
    <row r="3" ht="20.4" spans="2:17">
      <c r="B3" s="9"/>
      <c r="D3" s="50">
        <v>2026</v>
      </c>
      <c r="E3" s="54">
        <v>3524</v>
      </c>
      <c r="H3" s="50">
        <v>2026</v>
      </c>
      <c r="I3" s="50" t="s">
        <v>209</v>
      </c>
      <c r="J3" s="50" t="s">
        <v>210</v>
      </c>
      <c r="M3" s="50"/>
      <c r="N3" s="50"/>
      <c r="O3" s="50"/>
      <c r="P3" s="50"/>
      <c r="Q3" s="50"/>
    </row>
    <row r="4" ht="21" spans="2:17">
      <c r="B4" s="51" t="s">
        <v>72</v>
      </c>
      <c r="D4" s="50">
        <v>2027</v>
      </c>
      <c r="E4" s="54">
        <v>4835</v>
      </c>
      <c r="H4" s="50">
        <v>2027</v>
      </c>
      <c r="I4" s="50" t="s">
        <v>211</v>
      </c>
      <c r="J4" s="50" t="s">
        <v>212</v>
      </c>
      <c r="M4" s="50" t="s">
        <v>205</v>
      </c>
      <c r="N4" s="50" t="s">
        <v>206</v>
      </c>
      <c r="O4" s="50" t="s">
        <v>213</v>
      </c>
      <c r="P4" s="50" t="s">
        <v>214</v>
      </c>
      <c r="Q4" s="50" t="s">
        <v>215</v>
      </c>
    </row>
    <row r="5" ht="21" spans="2:20">
      <c r="B5" s="52" t="s">
        <v>216</v>
      </c>
      <c r="D5" s="50">
        <v>2028</v>
      </c>
      <c r="E5" s="54">
        <v>6354</v>
      </c>
      <c r="H5" s="50">
        <v>2028</v>
      </c>
      <c r="I5" s="50" t="s">
        <v>217</v>
      </c>
      <c r="J5" s="50" t="s">
        <v>218</v>
      </c>
      <c r="M5" s="50">
        <v>2026</v>
      </c>
      <c r="N5" s="54">
        <v>3524</v>
      </c>
      <c r="O5" s="56">
        <v>1</v>
      </c>
      <c r="P5" s="55">
        <f>1/(1+$P$2)^O5</f>
        <v>0.821018062397373</v>
      </c>
      <c r="Q5" s="54">
        <f>N5*P5</f>
        <v>2893.26765188834</v>
      </c>
      <c r="T5" s="57"/>
    </row>
    <row r="6" ht="21" spans="2:17">
      <c r="B6" s="52" t="s">
        <v>219</v>
      </c>
      <c r="D6" s="50">
        <v>2029</v>
      </c>
      <c r="E6" s="54">
        <v>8001</v>
      </c>
      <c r="H6" s="50">
        <v>2029</v>
      </c>
      <c r="I6" s="50" t="s">
        <v>220</v>
      </c>
      <c r="J6" s="50" t="s">
        <v>221</v>
      </c>
      <c r="M6" s="50">
        <v>2027</v>
      </c>
      <c r="N6" s="54">
        <v>4835</v>
      </c>
      <c r="O6" s="56">
        <v>2</v>
      </c>
      <c r="P6" s="55">
        <f>1/(1+$P$2)^O6</f>
        <v>0.674070658782736</v>
      </c>
      <c r="Q6" s="54">
        <f>N6*P6</f>
        <v>3259.13163521453</v>
      </c>
    </row>
    <row r="7" ht="21" spans="2:17">
      <c r="B7" s="52" t="s">
        <v>222</v>
      </c>
      <c r="D7" s="50">
        <v>2030</v>
      </c>
      <c r="E7" s="54">
        <v>9371</v>
      </c>
      <c r="H7" s="50">
        <v>2030</v>
      </c>
      <c r="I7" s="50" t="s">
        <v>223</v>
      </c>
      <c r="J7" s="50" t="s">
        <v>224</v>
      </c>
      <c r="M7" s="50">
        <v>2028</v>
      </c>
      <c r="N7" s="54">
        <v>6354</v>
      </c>
      <c r="O7" s="56">
        <v>3</v>
      </c>
      <c r="P7" s="55">
        <f>1/(1+$P$2)^O7</f>
        <v>0.553424186192723</v>
      </c>
      <c r="Q7" s="54">
        <f>N7*P7</f>
        <v>3516.45727906856</v>
      </c>
    </row>
    <row r="8" ht="21" spans="2:17">
      <c r="B8" s="52" t="s">
        <v>225</v>
      </c>
      <c r="D8" s="50" t="s">
        <v>226</v>
      </c>
      <c r="E8" s="54">
        <v>51341</v>
      </c>
      <c r="H8" s="50">
        <v>2030</v>
      </c>
      <c r="I8" s="50" t="s">
        <v>227</v>
      </c>
      <c r="J8" s="50" t="s">
        <v>224</v>
      </c>
      <c r="M8" s="50">
        <v>2029</v>
      </c>
      <c r="N8" s="54">
        <v>8001</v>
      </c>
      <c r="O8" s="56">
        <v>4</v>
      </c>
      <c r="P8" s="55">
        <f>1/(1+$P$2)^O8</f>
        <v>0.454371253031792</v>
      </c>
      <c r="Q8" s="54">
        <f>N8*P8</f>
        <v>3635.42439550737</v>
      </c>
    </row>
    <row r="9" spans="13:17">
      <c r="M9" s="50">
        <v>2030</v>
      </c>
      <c r="N9" s="54">
        <v>9371</v>
      </c>
      <c r="O9" s="56">
        <v>5</v>
      </c>
      <c r="P9" s="55">
        <f>1/(1+$P$2)^O9</f>
        <v>0.373047005773228</v>
      </c>
      <c r="Q9" s="54">
        <f>N9*P9</f>
        <v>3495.82349110092</v>
      </c>
    </row>
    <row r="10" spans="13:17">
      <c r="M10" s="50" t="s">
        <v>228</v>
      </c>
      <c r="N10" s="50"/>
      <c r="O10" s="50"/>
      <c r="P10" s="55"/>
      <c r="Q10" s="54">
        <f>SUM(Q5:Q9)</f>
        <v>16800.1044527797</v>
      </c>
    </row>
    <row r="11" ht="21.6" spans="2:17">
      <c r="B11" s="53" t="s">
        <v>114</v>
      </c>
      <c r="M11" s="50"/>
      <c r="N11" s="50"/>
      <c r="O11" s="50"/>
      <c r="P11" s="50"/>
      <c r="Q11" s="50"/>
    </row>
    <row r="12" spans="13:17">
      <c r="M12" s="50" t="s">
        <v>229</v>
      </c>
      <c r="N12" s="54">
        <v>51341</v>
      </c>
      <c r="O12" s="56">
        <v>5</v>
      </c>
      <c r="P12" s="55">
        <f>1/(1+P2)^O12</f>
        <v>0.373047005773228</v>
      </c>
      <c r="Q12" s="54">
        <f>N12*P12</f>
        <v>19152.6063234033</v>
      </c>
    </row>
    <row r="13" ht="23.2" spans="2:17">
      <c r="B13" s="49" t="s">
        <v>230</v>
      </c>
      <c r="M13" s="50"/>
      <c r="N13" s="50"/>
      <c r="O13" s="50"/>
      <c r="P13" s="50"/>
      <c r="Q13" s="50"/>
    </row>
    <row r="14" ht="23.2" spans="2:17">
      <c r="B14" s="49" t="s">
        <v>231</v>
      </c>
      <c r="M14" s="50" t="s">
        <v>232</v>
      </c>
      <c r="N14" s="50"/>
      <c r="O14" s="50"/>
      <c r="P14" s="50"/>
      <c r="Q14" s="54">
        <f>Q10+Q12</f>
        <v>35952.710776183</v>
      </c>
    </row>
    <row r="15" ht="23.2" spans="2:17">
      <c r="B15" s="49" t="s">
        <v>233</v>
      </c>
      <c r="M15" s="50"/>
      <c r="N15" s="50"/>
      <c r="O15" s="50"/>
      <c r="P15" s="50"/>
      <c r="Q15" s="50"/>
    </row>
    <row r="16" spans="13:17">
      <c r="M16" s="50" t="s">
        <v>234</v>
      </c>
      <c r="N16" s="54"/>
      <c r="O16" s="50"/>
      <c r="P16" s="50"/>
      <c r="Q16" s="54">
        <v>14809</v>
      </c>
    </row>
    <row r="17" spans="13:17">
      <c r="M17" s="50"/>
      <c r="N17" s="50"/>
      <c r="O17" s="50"/>
      <c r="P17" s="50"/>
      <c r="Q17" s="50"/>
    </row>
    <row r="18" spans="13:17">
      <c r="M18" s="50" t="s">
        <v>235</v>
      </c>
      <c r="N18" s="50"/>
      <c r="O18" s="50"/>
      <c r="P18" s="50"/>
      <c r="Q18" s="54">
        <f>Q14-Q16</f>
        <v>21143.710776183</v>
      </c>
    </row>
    <row r="24" spans="16:16">
      <c r="P24" s="57"/>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5:U58"/>
  <sheetViews>
    <sheetView zoomScale="58" zoomScaleNormal="58" topLeftCell="A38" workbookViewId="0">
      <selection activeCell="G11" sqref="G11:G12"/>
    </sheetView>
  </sheetViews>
  <sheetFormatPr defaultColWidth="8.80625" defaultRowHeight="20.4"/>
  <cols>
    <col min="1" max="2" width="8.80625" style="12"/>
    <col min="3" max="3" width="18.19375" style="12" customWidth="1"/>
    <col min="4" max="4" width="11.80625" style="12" customWidth="1"/>
    <col min="5" max="5" width="11.19375" style="12"/>
    <col min="6" max="7" width="10.30625" style="12"/>
    <col min="8" max="8" width="8.80625" style="12"/>
    <col min="9" max="10" width="10.30625" style="12"/>
    <col min="11" max="11" width="12.5" style="12"/>
    <col min="12" max="12" width="8.80625" style="12"/>
    <col min="13" max="13" width="13.625" style="12" customWidth="1"/>
    <col min="14" max="14" width="10.30625" style="12" customWidth="1"/>
    <col min="15" max="15" width="11.4" style="12"/>
    <col min="16" max="17" width="9.35" style="12"/>
    <col min="18" max="16384" width="8.80625" style="12"/>
  </cols>
  <sheetData>
    <row r="5" spans="21:21">
      <c r="U5" s="48" t="s">
        <v>236</v>
      </c>
    </row>
    <row r="6" ht="41" spans="3:21">
      <c r="C6" s="13" t="s">
        <v>237</v>
      </c>
      <c r="D6" s="13" t="s">
        <v>238</v>
      </c>
      <c r="E6" s="13" t="s">
        <v>239</v>
      </c>
      <c r="F6" s="13" t="s">
        <v>240</v>
      </c>
      <c r="G6" s="13" t="s">
        <v>241</v>
      </c>
      <c r="H6" s="13" t="s">
        <v>242</v>
      </c>
      <c r="I6" s="13" t="s">
        <v>80</v>
      </c>
      <c r="J6" s="13" t="s">
        <v>243</v>
      </c>
      <c r="K6" s="13" t="s">
        <v>244</v>
      </c>
      <c r="L6" s="13" t="s">
        <v>245</v>
      </c>
      <c r="M6" s="42" t="s">
        <v>246</v>
      </c>
      <c r="N6" s="43" t="s">
        <v>247</v>
      </c>
      <c r="O6" s="28" t="s">
        <v>248</v>
      </c>
      <c r="P6" s="28" t="s">
        <v>249</v>
      </c>
      <c r="Q6" s="28" t="s">
        <v>250</v>
      </c>
      <c r="U6" s="24" t="s">
        <v>251</v>
      </c>
    </row>
    <row r="7" ht="21" spans="3:21">
      <c r="C7" s="14" t="s">
        <v>252</v>
      </c>
      <c r="D7" s="15">
        <v>400001000</v>
      </c>
      <c r="E7" s="33">
        <f>D7*D20/1000000</f>
        <v>31600.079</v>
      </c>
      <c r="F7" s="18">
        <v>29458</v>
      </c>
      <c r="G7" s="18">
        <v>13134</v>
      </c>
      <c r="H7" s="18">
        <v>16324</v>
      </c>
      <c r="I7" s="18">
        <v>96472</v>
      </c>
      <c r="J7" s="18">
        <v>8155</v>
      </c>
      <c r="K7" s="18">
        <v>1019</v>
      </c>
      <c r="L7" s="18">
        <v>288</v>
      </c>
      <c r="M7" s="44">
        <f t="shared" ref="M7:M11" si="0">H7+E7</f>
        <v>47924.079</v>
      </c>
      <c r="N7" s="40">
        <f t="shared" ref="N7:N11" si="1">M7/I7</f>
        <v>0.49676671987727</v>
      </c>
      <c r="O7" s="40">
        <f t="shared" ref="O7:O11" si="2">M7/J7</f>
        <v>5.87664978540773</v>
      </c>
      <c r="P7" s="40">
        <f t="shared" ref="P7:P11" si="3">M7/K7</f>
        <v>47.0304995093229</v>
      </c>
      <c r="Q7" s="40">
        <f t="shared" ref="Q7:Q11" si="4">E7/L7</f>
        <v>109.722496527778</v>
      </c>
      <c r="U7" s="12" t="s">
        <v>253</v>
      </c>
    </row>
    <row r="8" ht="21" spans="3:21">
      <c r="C8" s="16" t="s">
        <v>254</v>
      </c>
      <c r="D8" s="17">
        <v>71246984</v>
      </c>
      <c r="E8" s="34">
        <f>D8*D19/1000000</f>
        <v>70634.2599376</v>
      </c>
      <c r="F8" s="22">
        <v>24010</v>
      </c>
      <c r="G8" s="22">
        <v>2779</v>
      </c>
      <c r="H8" s="22">
        <v>21231</v>
      </c>
      <c r="I8" s="22">
        <v>30881</v>
      </c>
      <c r="J8" s="22">
        <v>12322</v>
      </c>
      <c r="K8" s="22">
        <v>93332</v>
      </c>
      <c r="L8" s="22">
        <v>7274</v>
      </c>
      <c r="M8" s="44">
        <f t="shared" si="0"/>
        <v>91865.2599376</v>
      </c>
      <c r="N8" s="40">
        <f t="shared" si="1"/>
        <v>2.97481493272886</v>
      </c>
      <c r="O8" s="40">
        <f t="shared" si="2"/>
        <v>7.45538548430449</v>
      </c>
      <c r="P8" s="40">
        <f t="shared" si="3"/>
        <v>0.98428470339862</v>
      </c>
      <c r="Q8" s="40">
        <f t="shared" si="4"/>
        <v>9.71051140192466</v>
      </c>
      <c r="U8" s="12" t="s">
        <v>255</v>
      </c>
    </row>
    <row r="9" ht="21" spans="3:21">
      <c r="C9" s="14" t="s">
        <v>256</v>
      </c>
      <c r="D9" s="17">
        <v>209304000</v>
      </c>
      <c r="E9" s="33">
        <f>D9*D18/1000000</f>
        <v>16417.80576</v>
      </c>
      <c r="F9" s="18">
        <v>230</v>
      </c>
      <c r="G9" s="18">
        <v>3074</v>
      </c>
      <c r="H9" s="18">
        <v>-2844</v>
      </c>
      <c r="I9" s="18">
        <v>6016</v>
      </c>
      <c r="J9" s="18">
        <v>3156</v>
      </c>
      <c r="K9" s="18">
        <v>2996.4</v>
      </c>
      <c r="L9" s="18">
        <v>2956</v>
      </c>
      <c r="M9" s="44">
        <f t="shared" si="0"/>
        <v>13573.80576</v>
      </c>
      <c r="N9" s="40">
        <f t="shared" si="1"/>
        <v>2.25628420212766</v>
      </c>
      <c r="O9" s="40">
        <f t="shared" si="2"/>
        <v>4.30095239543726</v>
      </c>
      <c r="P9" s="40">
        <f t="shared" si="3"/>
        <v>4.53003796555867</v>
      </c>
      <c r="Q9" s="40">
        <f t="shared" si="4"/>
        <v>5.55406148849797</v>
      </c>
      <c r="U9" s="12" t="s">
        <v>257</v>
      </c>
    </row>
    <row r="10" ht="21" spans="3:21">
      <c r="C10" s="16" t="s">
        <v>258</v>
      </c>
      <c r="D10" s="17">
        <v>227870000</v>
      </c>
      <c r="E10" s="34">
        <f>D10*D16/1000000</f>
        <v>68885.101</v>
      </c>
      <c r="F10" s="22">
        <v>115051</v>
      </c>
      <c r="G10" s="22">
        <v>32759</v>
      </c>
      <c r="H10" s="22">
        <v>82292</v>
      </c>
      <c r="I10" s="22">
        <v>159960</v>
      </c>
      <c r="J10" s="22">
        <v>22584</v>
      </c>
      <c r="K10" s="22">
        <v>-12351</v>
      </c>
      <c r="L10" s="22">
        <v>-24961</v>
      </c>
      <c r="M10" s="44">
        <f t="shared" si="0"/>
        <v>151177.101</v>
      </c>
      <c r="N10" s="40">
        <f t="shared" si="1"/>
        <v>0.945093154538635</v>
      </c>
      <c r="O10" s="40">
        <f t="shared" si="2"/>
        <v>6.69399136556854</v>
      </c>
      <c r="P10" s="45" t="s">
        <v>259</v>
      </c>
      <c r="Q10" s="45" t="s">
        <v>259</v>
      </c>
      <c r="U10" s="12" t="s">
        <v>260</v>
      </c>
    </row>
    <row r="11" ht="21" spans="3:21">
      <c r="C11" s="14" t="s">
        <v>261</v>
      </c>
      <c r="D11" s="18">
        <v>454999999</v>
      </c>
      <c r="E11" s="33">
        <f>D11*D17/1000000</f>
        <v>115092.24974705</v>
      </c>
      <c r="F11" s="18">
        <v>3350</v>
      </c>
      <c r="G11" s="18">
        <v>1247</v>
      </c>
      <c r="H11" s="18">
        <v>2104</v>
      </c>
      <c r="I11" s="18">
        <v>20369</v>
      </c>
      <c r="J11" s="18">
        <v>8122</v>
      </c>
      <c r="K11" s="18">
        <v>6257</v>
      </c>
      <c r="L11" s="18">
        <v>6049</v>
      </c>
      <c r="M11" s="44">
        <f t="shared" si="0"/>
        <v>117196.24974705</v>
      </c>
      <c r="N11" s="40">
        <f t="shared" si="1"/>
        <v>5.75365750636016</v>
      </c>
      <c r="O11" s="40">
        <f t="shared" si="2"/>
        <v>14.429481623621</v>
      </c>
      <c r="P11" s="40">
        <f t="shared" si="3"/>
        <v>18.7304218870145</v>
      </c>
      <c r="Q11" s="40">
        <f t="shared" si="4"/>
        <v>19.0266572569102</v>
      </c>
      <c r="U11" s="12" t="s">
        <v>262</v>
      </c>
    </row>
    <row r="12" spans="21:21">
      <c r="U12" s="12" t="s">
        <v>263</v>
      </c>
    </row>
    <row r="13" spans="16:21">
      <c r="P13" s="46" t="s">
        <v>259</v>
      </c>
      <c r="Q13" s="47" t="s">
        <v>264</v>
      </c>
      <c r="U13" s="12" t="s">
        <v>265</v>
      </c>
    </row>
    <row r="14" spans="3:21">
      <c r="C14" s="12" t="s">
        <v>266</v>
      </c>
      <c r="F14" s="35"/>
      <c r="U14" s="12" t="s">
        <v>267</v>
      </c>
    </row>
    <row r="15" spans="6:21">
      <c r="F15" s="36"/>
      <c r="G15" s="36"/>
      <c r="U15" s="12" t="s">
        <v>268</v>
      </c>
    </row>
    <row r="16" spans="3:12">
      <c r="C16" s="19" t="s">
        <v>258</v>
      </c>
      <c r="D16" s="20">
        <v>302.3</v>
      </c>
      <c r="E16" s="37"/>
      <c r="L16" s="37"/>
    </row>
    <row r="17" spans="3:12">
      <c r="C17" s="19" t="s">
        <v>269</v>
      </c>
      <c r="D17" s="20">
        <v>252.95</v>
      </c>
      <c r="E17" s="38"/>
      <c r="L17" s="38"/>
    </row>
    <row r="18" ht="21" spans="3:4">
      <c r="C18" s="21" t="s">
        <v>270</v>
      </c>
      <c r="D18" s="22">
        <v>78.44</v>
      </c>
    </row>
    <row r="19" ht="21" spans="3:5">
      <c r="C19" s="21" t="s">
        <v>254</v>
      </c>
      <c r="D19" s="22">
        <v>991.4</v>
      </c>
      <c r="E19" s="37"/>
    </row>
    <row r="20" spans="3:5">
      <c r="C20" s="19" t="s">
        <v>252</v>
      </c>
      <c r="D20" s="20">
        <v>79</v>
      </c>
      <c r="E20" s="38"/>
    </row>
    <row r="21" spans="8:9">
      <c r="H21" s="39"/>
      <c r="I21" s="41"/>
    </row>
    <row r="22" spans="3:9">
      <c r="C22" s="23"/>
      <c r="D22" s="23"/>
      <c r="E22" s="23"/>
      <c r="F22" s="23"/>
      <c r="G22" s="23"/>
      <c r="H22" s="39"/>
      <c r="I22" s="41"/>
    </row>
    <row r="23" spans="3:12">
      <c r="C23" s="24" t="s">
        <v>271</v>
      </c>
      <c r="I23" s="36"/>
      <c r="J23" s="36"/>
      <c r="K23" s="36"/>
      <c r="L23" s="36"/>
    </row>
    <row r="24" spans="9:12">
      <c r="I24" s="36"/>
      <c r="J24" s="36"/>
      <c r="K24" s="36"/>
      <c r="L24" s="36"/>
    </row>
    <row r="25" spans="9:12">
      <c r="I25" s="36"/>
      <c r="J25" s="24" t="s">
        <v>272</v>
      </c>
      <c r="L25" s="36"/>
    </row>
    <row r="26" ht="62" spans="3:10">
      <c r="C26" s="13" t="s">
        <v>273</v>
      </c>
      <c r="D26" s="13" t="s">
        <v>274</v>
      </c>
      <c r="E26" s="13" t="s">
        <v>275</v>
      </c>
      <c r="F26" s="13" t="s">
        <v>276</v>
      </c>
      <c r="G26" s="13" t="s">
        <v>277</v>
      </c>
      <c r="H26" s="13" t="s">
        <v>278</v>
      </c>
      <c r="J26" s="24" t="s">
        <v>279</v>
      </c>
    </row>
    <row r="27" ht="21" spans="3:10">
      <c r="C27" s="16" t="s">
        <v>247</v>
      </c>
      <c r="D27" s="25">
        <f>MEDIAN(N8:N11)</f>
        <v>2.61554956742826</v>
      </c>
      <c r="E27" s="16" t="s">
        <v>80</v>
      </c>
      <c r="F27" s="25">
        <f>D27*I7</f>
        <v>252327.297868939</v>
      </c>
      <c r="G27" s="25">
        <f>(F27-H7)</f>
        <v>236003.297868939</v>
      </c>
      <c r="H27" s="25">
        <f>(G27*1000000)/D7</f>
        <v>590.006769655424</v>
      </c>
      <c r="J27" s="24" t="s">
        <v>280</v>
      </c>
    </row>
    <row r="28" ht="21" spans="3:8">
      <c r="C28" s="16" t="s">
        <v>248</v>
      </c>
      <c r="D28" s="25">
        <f>MEDIAN(O8:O11)</f>
        <v>7.07468842493652</v>
      </c>
      <c r="E28" s="16" t="s">
        <v>243</v>
      </c>
      <c r="F28" s="25">
        <f>D28*J7</f>
        <v>57694.0841053573</v>
      </c>
      <c r="G28" s="25">
        <f>F28-H7</f>
        <v>41370.0841053573</v>
      </c>
      <c r="H28" s="25">
        <f>(G28*1000000)/D7</f>
        <v>103.424951701014</v>
      </c>
    </row>
    <row r="29" ht="21" spans="3:10">
      <c r="C29" s="16" t="s">
        <v>249</v>
      </c>
      <c r="D29" s="25">
        <f>MEDIAN(P8:P11)</f>
        <v>4.53003796555867</v>
      </c>
      <c r="E29" s="16" t="s">
        <v>244</v>
      </c>
      <c r="F29" s="25">
        <f>D29*K7</f>
        <v>4616.10868690429</v>
      </c>
      <c r="G29" s="25">
        <f>F29-H7</f>
        <v>-11707.8913130957</v>
      </c>
      <c r="H29" s="25">
        <f>(G29*1000000)/D7</f>
        <v>-29.2696551086015</v>
      </c>
      <c r="J29" s="24" t="s">
        <v>281</v>
      </c>
    </row>
    <row r="30" ht="21" spans="3:10">
      <c r="C30" s="16" t="s">
        <v>250</v>
      </c>
      <c r="D30" s="25">
        <f>MEDIAN(Q8:Q11)</f>
        <v>9.71051140192466</v>
      </c>
      <c r="E30" s="16" t="s">
        <v>245</v>
      </c>
      <c r="F30" s="25" t="s">
        <v>282</v>
      </c>
      <c r="G30" s="25">
        <f>D30*L7</f>
        <v>2796.6272837543</v>
      </c>
      <c r="H30" s="40">
        <f>(G30*1000000)/D7</f>
        <v>6.99155073050893</v>
      </c>
      <c r="J30" s="24" t="s">
        <v>279</v>
      </c>
    </row>
    <row r="31" spans="10:10">
      <c r="J31" s="24" t="s">
        <v>280</v>
      </c>
    </row>
    <row r="33" spans="10:10">
      <c r="J33" s="24" t="s">
        <v>283</v>
      </c>
    </row>
    <row r="34" spans="10:10">
      <c r="J34" s="24" t="s">
        <v>279</v>
      </c>
    </row>
    <row r="35" spans="10:10">
      <c r="J35" s="24" t="s">
        <v>280</v>
      </c>
    </row>
    <row r="37" spans="3:10">
      <c r="C37" s="24" t="s">
        <v>284</v>
      </c>
      <c r="J37" s="24" t="s">
        <v>285</v>
      </c>
    </row>
    <row r="38" spans="10:10">
      <c r="J38" s="24" t="s">
        <v>280</v>
      </c>
    </row>
    <row r="39" ht="21" spans="3:4">
      <c r="C39" s="26" t="s">
        <v>286</v>
      </c>
      <c r="D39" s="13" t="s">
        <v>123</v>
      </c>
    </row>
    <row r="40" ht="21" spans="3:10">
      <c r="C40" s="27" t="s">
        <v>287</v>
      </c>
      <c r="D40" s="16">
        <v>590.01</v>
      </c>
      <c r="J40" s="24" t="s">
        <v>288</v>
      </c>
    </row>
    <row r="41" ht="21" spans="3:10">
      <c r="C41" s="27" t="s">
        <v>289</v>
      </c>
      <c r="D41" s="16">
        <v>95.66</v>
      </c>
      <c r="J41" s="24" t="s">
        <v>290</v>
      </c>
    </row>
    <row r="42" ht="21" spans="3:4">
      <c r="C42" s="27" t="s">
        <v>291</v>
      </c>
      <c r="D42" s="16">
        <v>6.99</v>
      </c>
    </row>
    <row r="43" ht="41" spans="3:10">
      <c r="C43" s="27" t="s">
        <v>292</v>
      </c>
      <c r="D43" s="25">
        <f>MEDIAN(H27,H28,H30)</f>
        <v>103.424951701014</v>
      </c>
      <c r="J43" s="24" t="s">
        <v>293</v>
      </c>
    </row>
    <row r="44" ht="21" spans="3:4">
      <c r="C44" s="27" t="s">
        <v>238</v>
      </c>
      <c r="D44" s="28">
        <v>400001000</v>
      </c>
    </row>
    <row r="45" ht="41" spans="3:4">
      <c r="C45" s="27" t="s">
        <v>294</v>
      </c>
      <c r="D45" s="29">
        <f>D44*D43/1000000</f>
        <v>41370.0841053573</v>
      </c>
    </row>
    <row r="46" spans="3:4">
      <c r="C46" s="28" t="s">
        <v>295</v>
      </c>
      <c r="D46" s="28">
        <v>79</v>
      </c>
    </row>
    <row r="47" spans="3:4">
      <c r="C47" s="28" t="s">
        <v>296</v>
      </c>
      <c r="D47" s="30">
        <f>(D43-D46)/D46</f>
        <v>0.309176603810304</v>
      </c>
    </row>
    <row r="48" ht="21" spans="3:4">
      <c r="C48" s="28" t="s">
        <v>297</v>
      </c>
      <c r="D48" s="16" t="s">
        <v>298</v>
      </c>
    </row>
    <row r="51" spans="10:10">
      <c r="J51" s="38"/>
    </row>
    <row r="52" spans="3:7">
      <c r="C52" s="31" t="s">
        <v>299</v>
      </c>
      <c r="D52" s="32"/>
      <c r="E52" s="32"/>
      <c r="F52" s="32"/>
      <c r="G52" s="32"/>
    </row>
    <row r="53" spans="3:7">
      <c r="C53" s="32"/>
      <c r="D53" s="32"/>
      <c r="E53" s="32"/>
      <c r="F53" s="32"/>
      <c r="G53" s="32"/>
    </row>
    <row r="54" spans="3:7">
      <c r="C54" s="32"/>
      <c r="D54" s="32"/>
      <c r="E54" s="32"/>
      <c r="F54" s="32"/>
      <c r="G54" s="32"/>
    </row>
    <row r="55" spans="3:7">
      <c r="C55" s="32"/>
      <c r="D55" s="32"/>
      <c r="E55" s="32"/>
      <c r="F55" s="32"/>
      <c r="G55" s="32"/>
    </row>
    <row r="56" spans="3:7">
      <c r="C56" s="32"/>
      <c r="D56" s="32"/>
      <c r="E56" s="32"/>
      <c r="F56" s="32"/>
      <c r="G56" s="32"/>
    </row>
    <row r="57" spans="3:7">
      <c r="C57" s="32"/>
      <c r="D57" s="32"/>
      <c r="E57" s="32"/>
      <c r="F57" s="32"/>
      <c r="G57" s="32"/>
    </row>
    <row r="58" spans="3:7">
      <c r="C58" s="32"/>
      <c r="D58" s="32"/>
      <c r="E58" s="32"/>
      <c r="F58" s="32"/>
      <c r="G58" s="32"/>
    </row>
  </sheetData>
  <mergeCells count="1">
    <mergeCell ref="C52:G58"/>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K29"/>
  <sheetViews>
    <sheetView zoomScale="68" zoomScaleNormal="68" workbookViewId="0">
      <selection activeCell="F17" sqref="F17"/>
    </sheetView>
  </sheetViews>
  <sheetFormatPr defaultColWidth="8.80625" defaultRowHeight="17.6"/>
  <cols>
    <col min="1" max="1" width="8.80625" style="1"/>
    <col min="2" max="2" width="14.33125" style="1" customWidth="1"/>
    <col min="3" max="3" width="18.2125" style="1" customWidth="1"/>
    <col min="4" max="4" width="13.35" style="1" customWidth="1"/>
    <col min="5" max="5" width="17.10625" style="1" customWidth="1"/>
    <col min="6" max="6" width="16.125" style="1" customWidth="1"/>
    <col min="7" max="7" width="28.775" style="1" customWidth="1"/>
    <col min="8" max="8" width="10.70625" style="1" customWidth="1"/>
    <col min="9" max="16384" width="8.80625" style="1"/>
  </cols>
  <sheetData>
    <row r="1" ht="23" customHeight="1"/>
    <row r="2" ht="28" customHeight="1" spans="2:2">
      <c r="B2" s="2" t="s">
        <v>300</v>
      </c>
    </row>
    <row r="3" ht="25" customHeight="1"/>
    <row r="4" ht="41" spans="2:11">
      <c r="B4" s="3" t="s">
        <v>301</v>
      </c>
      <c r="C4" s="3" t="s">
        <v>302</v>
      </c>
      <c r="D4" s="3" t="s">
        <v>303</v>
      </c>
      <c r="E4" s="3" t="s">
        <v>304</v>
      </c>
      <c r="F4" s="3" t="s">
        <v>305</v>
      </c>
      <c r="G4" s="3" t="s">
        <v>306</v>
      </c>
      <c r="K4" s="9" t="s">
        <v>307</v>
      </c>
    </row>
    <row r="5" ht="21" spans="2:11">
      <c r="B5" s="4" t="s">
        <v>308</v>
      </c>
      <c r="C5" s="5">
        <v>35953</v>
      </c>
      <c r="D5" s="5">
        <v>14809</v>
      </c>
      <c r="E5" s="5">
        <v>21144</v>
      </c>
      <c r="F5" s="6">
        <f>E5*1000000/400001000</f>
        <v>52.8598678503304</v>
      </c>
      <c r="G5" s="4" t="s">
        <v>309</v>
      </c>
      <c r="K5" s="9" t="s">
        <v>310</v>
      </c>
    </row>
    <row r="6" ht="62" spans="2:11">
      <c r="B6" s="4" t="s">
        <v>311</v>
      </c>
      <c r="C6" s="6">
        <v>57694.08</v>
      </c>
      <c r="D6" s="5">
        <v>16324</v>
      </c>
      <c r="E6" s="6">
        <v>41370.08</v>
      </c>
      <c r="F6" s="6">
        <f>E6*1000000/400001000</f>
        <v>103.424941437646</v>
      </c>
      <c r="G6" s="4" t="s">
        <v>312</v>
      </c>
      <c r="K6" s="9" t="s">
        <v>313</v>
      </c>
    </row>
    <row r="7" ht="20.4" spans="11:11">
      <c r="K7" s="9" t="s">
        <v>314</v>
      </c>
    </row>
    <row r="8" ht="20.4" spans="11:11">
      <c r="K8" s="9" t="s">
        <v>315</v>
      </c>
    </row>
    <row r="9" ht="20.4" spans="11:11">
      <c r="K9" s="9" t="s">
        <v>316</v>
      </c>
    </row>
    <row r="10" ht="20.4" spans="2:11">
      <c r="B10" s="2" t="s">
        <v>317</v>
      </c>
      <c r="G10" s="2" t="s">
        <v>318</v>
      </c>
      <c r="K10" s="9" t="s">
        <v>319</v>
      </c>
    </row>
    <row r="11" ht="20.4" spans="11:11">
      <c r="K11" s="9" t="s">
        <v>320</v>
      </c>
    </row>
    <row r="12" ht="41" spans="2:11">
      <c r="B12" s="3" t="s">
        <v>321</v>
      </c>
      <c r="C12" s="3" t="s">
        <v>123</v>
      </c>
      <c r="G12" s="3" t="s">
        <v>321</v>
      </c>
      <c r="H12" s="3" t="s">
        <v>305</v>
      </c>
      <c r="K12" s="9" t="s">
        <v>322</v>
      </c>
    </row>
    <row r="13" ht="62" spans="2:11">
      <c r="B13" s="7" t="s">
        <v>323</v>
      </c>
      <c r="C13" s="7">
        <v>79</v>
      </c>
      <c r="G13" s="4" t="s">
        <v>324</v>
      </c>
      <c r="H13" s="4">
        <v>52.86</v>
      </c>
      <c r="K13" s="9" t="s">
        <v>325</v>
      </c>
    </row>
    <row r="14" ht="74" customHeight="1" spans="2:11">
      <c r="B14" s="7" t="s">
        <v>326</v>
      </c>
      <c r="C14" s="7">
        <v>52.86</v>
      </c>
      <c r="G14" s="4" t="s">
        <v>327</v>
      </c>
      <c r="H14" s="4">
        <v>103.42</v>
      </c>
      <c r="K14" s="9" t="s">
        <v>328</v>
      </c>
    </row>
    <row r="15" ht="62" spans="2:11">
      <c r="B15" s="7" t="s">
        <v>329</v>
      </c>
      <c r="C15" s="7">
        <v>103.42</v>
      </c>
      <c r="G15" s="4" t="s">
        <v>330</v>
      </c>
      <c r="H15" s="4">
        <v>79</v>
      </c>
      <c r="K15" s="9" t="s">
        <v>331</v>
      </c>
    </row>
    <row r="16" ht="41" spans="2:3">
      <c r="B16" s="7" t="s">
        <v>332</v>
      </c>
      <c r="C16" s="8">
        <f>(C14-C13)/C13</f>
        <v>-0.330886075949367</v>
      </c>
    </row>
    <row r="17" ht="41" spans="2:7">
      <c r="B17" s="7" t="s">
        <v>333</v>
      </c>
      <c r="C17" s="8">
        <f>(C15-C13)/C13</f>
        <v>0.309113924050633</v>
      </c>
      <c r="G17" s="11"/>
    </row>
    <row r="19" ht="20.4" spans="2:2">
      <c r="B19" s="9" t="s">
        <v>334</v>
      </c>
    </row>
    <row r="20" ht="20.4" spans="2:2">
      <c r="B20" s="9" t="s">
        <v>335</v>
      </c>
    </row>
    <row r="21" ht="20.4" spans="2:2">
      <c r="B21" s="9" t="s">
        <v>336</v>
      </c>
    </row>
    <row r="27" spans="2:2">
      <c r="B27" s="10"/>
    </row>
    <row r="28" spans="2:2">
      <c r="B28" s="11"/>
    </row>
    <row r="29" spans="2:2">
      <c r="B29" s="11"/>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8</vt:i4>
      </vt:variant>
    </vt:vector>
  </HeadingPairs>
  <TitlesOfParts>
    <vt:vector size="8" baseType="lpstr">
      <vt:lpstr>Data</vt:lpstr>
      <vt:lpstr>Historical analysis</vt:lpstr>
      <vt:lpstr>Free Cash Flow to Firm</vt:lpstr>
      <vt:lpstr>WACC</vt:lpstr>
      <vt:lpstr>TV (Terminal Value)</vt:lpstr>
      <vt:lpstr>Discounting</vt:lpstr>
      <vt:lpstr>Multiples Valuation</vt:lpstr>
      <vt:lpstr>Valuation Summary </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Artem Ozhegov</dc:creator>
  <cp:lastModifiedBy>FK</cp:lastModifiedBy>
  <dcterms:created xsi:type="dcterms:W3CDTF">2026-05-09T11:15:00Z</dcterms:created>
  <dcterms:modified xsi:type="dcterms:W3CDTF">2026-08-11T22:02:33Z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1033-12.1.23155.23155</vt:lpwstr>
  </property>
  <property fmtid="{D5CDD505-2E9C-101B-9397-08002B2CF9AE}" pid="3" name="ICV">
    <vt:lpwstr>946E274526BBEC8EB9637B6AD626BF64_43</vt:lpwstr>
  </property>
</Properties>
</file>